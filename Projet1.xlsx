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vid Mechant\Downloads\"/>
    </mc:Choice>
  </mc:AlternateContent>
  <xr:revisionPtr revIDLastSave="0" documentId="13_ncr:1_{A24E505E-CA7B-4B00-BF72-EB8664E65545}" xr6:coauthVersionLast="47" xr6:coauthVersionMax="47" xr10:uidLastSave="{00000000-0000-0000-0000-000000000000}"/>
  <bookViews>
    <workbookView xWindow="810" yWindow="-120" windowWidth="19800" windowHeight="11760" xr2:uid="{D27A531E-EED9-4D9E-8294-761BFA3BE42C}"/>
  </bookViews>
  <sheets>
    <sheet name="REFERENCE" sheetId="1" r:id="rId1"/>
    <sheet name="Mouvement" sheetId="3" r:id="rId2"/>
    <sheet name="DashBoard" sheetId="4" r:id="rId3"/>
    <sheet name="Finance" sheetId="5" r:id="rId4"/>
    <sheet name="Simulation" sheetId="6" r:id="rId5"/>
  </sheets>
  <definedNames>
    <definedName name="Slicer_Catégori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6" l="1"/>
  <c r="F7" i="6"/>
  <c r="K6" i="5"/>
  <c r="M6" i="5" s="1"/>
  <c r="F11" i="5"/>
  <c r="L9" i="5" s="1"/>
  <c r="R5" i="4"/>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2" i="3"/>
  <c r="F11" i="6" l="1"/>
  <c r="F13" i="6" s="1"/>
  <c r="L62" i="5"/>
  <c r="L54" i="5"/>
  <c r="L42" i="5"/>
  <c r="L30" i="5"/>
  <c r="L22" i="5"/>
  <c r="L65" i="5"/>
  <c r="L61" i="5"/>
  <c r="L57" i="5"/>
  <c r="L53" i="5"/>
  <c r="L49" i="5"/>
  <c r="L45" i="5"/>
  <c r="L41" i="5"/>
  <c r="L37" i="5"/>
  <c r="L33" i="5"/>
  <c r="L29" i="5"/>
  <c r="L25" i="5"/>
  <c r="L21" i="5"/>
  <c r="L17" i="5"/>
  <c r="L13" i="5"/>
  <c r="L14" i="5"/>
  <c r="L6" i="5"/>
  <c r="N6" i="5" s="1"/>
  <c r="O6" i="5" s="1"/>
  <c r="K7" i="5" s="1"/>
  <c r="M7" i="5" s="1"/>
  <c r="L64" i="5"/>
  <c r="L60" i="5"/>
  <c r="L56" i="5"/>
  <c r="L52" i="5"/>
  <c r="L48" i="5"/>
  <c r="L44" i="5"/>
  <c r="L40" i="5"/>
  <c r="L36" i="5"/>
  <c r="L32" i="5"/>
  <c r="L28" i="5"/>
  <c r="L24" i="5"/>
  <c r="L20" i="5"/>
  <c r="L16" i="5"/>
  <c r="L12" i="5"/>
  <c r="L8" i="5"/>
  <c r="L58" i="5"/>
  <c r="L50" i="5"/>
  <c r="L46" i="5"/>
  <c r="L38" i="5"/>
  <c r="L34" i="5"/>
  <c r="L26" i="5"/>
  <c r="L18" i="5"/>
  <c r="L10" i="5"/>
  <c r="L7" i="5"/>
  <c r="L63" i="5"/>
  <c r="L59" i="5"/>
  <c r="L55" i="5"/>
  <c r="L51" i="5"/>
  <c r="L47" i="5"/>
  <c r="L43" i="5"/>
  <c r="L39" i="5"/>
  <c r="L35" i="5"/>
  <c r="L31" i="5"/>
  <c r="L27" i="5"/>
  <c r="L23" i="5"/>
  <c r="L19" i="5"/>
  <c r="L15" i="5"/>
  <c r="L11" i="5"/>
  <c r="F4" i="1"/>
  <c r="F90" i="1"/>
  <c r="F94" i="1"/>
  <c r="F86" i="1"/>
  <c r="F78" i="1"/>
  <c r="F70" i="1"/>
  <c r="F62" i="1"/>
  <c r="F54" i="1"/>
  <c r="F46" i="1"/>
  <c r="F38" i="1"/>
  <c r="F30" i="1"/>
  <c r="F26" i="1"/>
  <c r="F18" i="1"/>
  <c r="F14" i="1"/>
  <c r="F6" i="1"/>
  <c r="F101" i="1"/>
  <c r="F97" i="1"/>
  <c r="F93" i="1"/>
  <c r="F89" i="1"/>
  <c r="F85" i="1"/>
  <c r="F81" i="1"/>
  <c r="F77" i="1"/>
  <c r="F73" i="1"/>
  <c r="F69" i="1"/>
  <c r="F65" i="1"/>
  <c r="F61" i="1"/>
  <c r="F57" i="1"/>
  <c r="F53" i="1"/>
  <c r="F49" i="1"/>
  <c r="F45" i="1"/>
  <c r="F41" i="1"/>
  <c r="F37" i="1"/>
  <c r="F33" i="1"/>
  <c r="F29" i="1"/>
  <c r="F25" i="1"/>
  <c r="F21" i="1"/>
  <c r="F17" i="1"/>
  <c r="F13" i="1"/>
  <c r="F9" i="1"/>
  <c r="F5" i="1"/>
  <c r="F98" i="1"/>
  <c r="F82" i="1"/>
  <c r="F74" i="1"/>
  <c r="F66" i="1"/>
  <c r="F58" i="1"/>
  <c r="F50" i="1"/>
  <c r="F42" i="1"/>
  <c r="F34" i="1"/>
  <c r="F22" i="1"/>
  <c r="F10" i="1"/>
  <c r="F100" i="1"/>
  <c r="F96" i="1"/>
  <c r="F92" i="1"/>
  <c r="F88" i="1"/>
  <c r="F84" i="1"/>
  <c r="F80" i="1"/>
  <c r="F76" i="1"/>
  <c r="F72" i="1"/>
  <c r="F68" i="1"/>
  <c r="F64" i="1"/>
  <c r="F60" i="1"/>
  <c r="F56" i="1"/>
  <c r="F52" i="1"/>
  <c r="F48" i="1"/>
  <c r="F44" i="1"/>
  <c r="F40" i="1"/>
  <c r="F36" i="1"/>
  <c r="F32" i="1"/>
  <c r="F28" i="1"/>
  <c r="F24" i="1"/>
  <c r="F20" i="1"/>
  <c r="F16" i="1"/>
  <c r="F12" i="1"/>
  <c r="F8" i="1"/>
  <c r="F2" i="1"/>
  <c r="F99" i="1"/>
  <c r="F95" i="1"/>
  <c r="F91" i="1"/>
  <c r="F87" i="1"/>
  <c r="F83" i="1"/>
  <c r="F79" i="1"/>
  <c r="F75" i="1"/>
  <c r="F71" i="1"/>
  <c r="F67" i="1"/>
  <c r="F63" i="1"/>
  <c r="F59" i="1"/>
  <c r="F55" i="1"/>
  <c r="F51" i="1"/>
  <c r="F47" i="1"/>
  <c r="F43" i="1"/>
  <c r="F39" i="1"/>
  <c r="F35" i="1"/>
  <c r="F31" i="1"/>
  <c r="F27" i="1"/>
  <c r="F23" i="1"/>
  <c r="F19" i="1"/>
  <c r="F15" i="1"/>
  <c r="F11" i="1"/>
  <c r="F7" i="1"/>
  <c r="F3" i="1"/>
  <c r="E4" i="1"/>
  <c r="E22" i="1"/>
  <c r="E2" i="1"/>
  <c r="G2" i="1" s="1"/>
  <c r="I2" i="1" s="1"/>
  <c r="E94" i="1"/>
  <c r="E82" i="1"/>
  <c r="E74" i="1"/>
  <c r="E62" i="1"/>
  <c r="G62" i="1" s="1"/>
  <c r="I62" i="1" s="1"/>
  <c r="E50" i="1"/>
  <c r="E38" i="1"/>
  <c r="E30" i="1"/>
  <c r="E26" i="1"/>
  <c r="E14" i="1"/>
  <c r="E10" i="1"/>
  <c r="E6" i="1"/>
  <c r="E101" i="1"/>
  <c r="E97" i="1"/>
  <c r="E93" i="1"/>
  <c r="E89" i="1"/>
  <c r="E85" i="1"/>
  <c r="E81" i="1"/>
  <c r="E77" i="1"/>
  <c r="E73" i="1"/>
  <c r="E69" i="1"/>
  <c r="E65" i="1"/>
  <c r="E61" i="1"/>
  <c r="E57" i="1"/>
  <c r="E53" i="1"/>
  <c r="E49" i="1"/>
  <c r="E45" i="1"/>
  <c r="E41" i="1"/>
  <c r="E37" i="1"/>
  <c r="E33" i="1"/>
  <c r="E29" i="1"/>
  <c r="E25" i="1"/>
  <c r="E21" i="1"/>
  <c r="E17" i="1"/>
  <c r="E13" i="1"/>
  <c r="E9" i="1"/>
  <c r="E5" i="1"/>
  <c r="E98" i="1"/>
  <c r="E78" i="1"/>
  <c r="E66" i="1"/>
  <c r="E54" i="1"/>
  <c r="E42" i="1"/>
  <c r="E18" i="1"/>
  <c r="G18" i="1" s="1"/>
  <c r="I18" i="1" s="1"/>
  <c r="E100" i="1"/>
  <c r="E96" i="1"/>
  <c r="E92" i="1"/>
  <c r="E88" i="1"/>
  <c r="E84" i="1"/>
  <c r="E80" i="1"/>
  <c r="E76" i="1"/>
  <c r="E72" i="1"/>
  <c r="E68" i="1"/>
  <c r="E64" i="1"/>
  <c r="E60" i="1"/>
  <c r="E56" i="1"/>
  <c r="E52" i="1"/>
  <c r="E48" i="1"/>
  <c r="E44" i="1"/>
  <c r="E40" i="1"/>
  <c r="E36" i="1"/>
  <c r="E32" i="1"/>
  <c r="E28" i="1"/>
  <c r="E24" i="1"/>
  <c r="E20" i="1"/>
  <c r="E16" i="1"/>
  <c r="E12" i="1"/>
  <c r="E8" i="1"/>
  <c r="E90" i="1"/>
  <c r="E86" i="1"/>
  <c r="E70" i="1"/>
  <c r="E58" i="1"/>
  <c r="G58" i="1" s="1"/>
  <c r="I58" i="1" s="1"/>
  <c r="E46" i="1"/>
  <c r="E34" i="1"/>
  <c r="E99" i="1"/>
  <c r="G99" i="1" s="1"/>
  <c r="I99" i="1" s="1"/>
  <c r="E95" i="1"/>
  <c r="G95" i="1" s="1"/>
  <c r="I95" i="1" s="1"/>
  <c r="E91" i="1"/>
  <c r="G91" i="1" s="1"/>
  <c r="I91" i="1" s="1"/>
  <c r="E87" i="1"/>
  <c r="G87" i="1" s="1"/>
  <c r="I87" i="1" s="1"/>
  <c r="E83" i="1"/>
  <c r="G83" i="1" s="1"/>
  <c r="I83" i="1" s="1"/>
  <c r="E79" i="1"/>
  <c r="G79" i="1" s="1"/>
  <c r="I79" i="1" s="1"/>
  <c r="E75" i="1"/>
  <c r="G75" i="1" s="1"/>
  <c r="I75" i="1" s="1"/>
  <c r="E71" i="1"/>
  <c r="G71" i="1" s="1"/>
  <c r="I71" i="1" s="1"/>
  <c r="E67" i="1"/>
  <c r="G67" i="1" s="1"/>
  <c r="I67" i="1" s="1"/>
  <c r="E63" i="1"/>
  <c r="G63" i="1" s="1"/>
  <c r="I63" i="1" s="1"/>
  <c r="E59" i="1"/>
  <c r="G59" i="1" s="1"/>
  <c r="I59" i="1" s="1"/>
  <c r="E55" i="1"/>
  <c r="G55" i="1" s="1"/>
  <c r="I55" i="1" s="1"/>
  <c r="E51" i="1"/>
  <c r="G51" i="1" s="1"/>
  <c r="I51" i="1" s="1"/>
  <c r="E47" i="1"/>
  <c r="G47" i="1" s="1"/>
  <c r="I47" i="1" s="1"/>
  <c r="E43" i="1"/>
  <c r="G43" i="1" s="1"/>
  <c r="I43" i="1" s="1"/>
  <c r="E39" i="1"/>
  <c r="G39" i="1" s="1"/>
  <c r="I39" i="1" s="1"/>
  <c r="E35" i="1"/>
  <c r="G35" i="1" s="1"/>
  <c r="I35" i="1" s="1"/>
  <c r="E31" i="1"/>
  <c r="G31" i="1" s="1"/>
  <c r="I31" i="1" s="1"/>
  <c r="E27" i="1"/>
  <c r="G27" i="1" s="1"/>
  <c r="I27" i="1" s="1"/>
  <c r="E23" i="1"/>
  <c r="G23" i="1" s="1"/>
  <c r="I23" i="1" s="1"/>
  <c r="E19" i="1"/>
  <c r="G19" i="1" s="1"/>
  <c r="I19" i="1" s="1"/>
  <c r="E15" i="1"/>
  <c r="G15" i="1" s="1"/>
  <c r="I15" i="1" s="1"/>
  <c r="E11" i="1"/>
  <c r="G11" i="1" s="1"/>
  <c r="I11" i="1" s="1"/>
  <c r="E7" i="1"/>
  <c r="G7" i="1" s="1"/>
  <c r="I7" i="1" s="1"/>
  <c r="E3" i="1"/>
  <c r="G3" i="1" s="1"/>
  <c r="I3" i="1" s="1"/>
  <c r="G78" i="1"/>
  <c r="I78" i="1" s="1"/>
  <c r="G90" i="1" l="1"/>
  <c r="I90" i="1" s="1"/>
  <c r="G4" i="1"/>
  <c r="I4" i="1" s="1"/>
  <c r="G28" i="1"/>
  <c r="I28" i="1" s="1"/>
  <c r="G60" i="1"/>
  <c r="I60" i="1" s="1"/>
  <c r="G92" i="1"/>
  <c r="I92" i="1" s="1"/>
  <c r="G98" i="1"/>
  <c r="I98" i="1" s="1"/>
  <c r="G33" i="1"/>
  <c r="I33" i="1" s="1"/>
  <c r="G65" i="1"/>
  <c r="I65" i="1" s="1"/>
  <c r="G97" i="1"/>
  <c r="I97" i="1" s="1"/>
  <c r="G12" i="1"/>
  <c r="I12" i="1" s="1"/>
  <c r="G44" i="1"/>
  <c r="I44" i="1" s="1"/>
  <c r="G76" i="1"/>
  <c r="I76" i="1" s="1"/>
  <c r="G17" i="1"/>
  <c r="I17" i="1" s="1"/>
  <c r="G49" i="1"/>
  <c r="I49" i="1" s="1"/>
  <c r="G81" i="1"/>
  <c r="I81" i="1" s="1"/>
  <c r="G46" i="1"/>
  <c r="I46" i="1" s="1"/>
  <c r="G22" i="1"/>
  <c r="I22" i="1" s="1"/>
  <c r="N7" i="5"/>
  <c r="O7" i="5" s="1"/>
  <c r="K8" i="5" s="1"/>
  <c r="M8" i="5" s="1"/>
  <c r="N8" i="5" s="1"/>
  <c r="G40" i="1"/>
  <c r="I40" i="1" s="1"/>
  <c r="G61" i="1"/>
  <c r="I61" i="1" s="1"/>
  <c r="G38" i="1"/>
  <c r="I38" i="1" s="1"/>
  <c r="G42" i="1"/>
  <c r="I42" i="1" s="1"/>
  <c r="G94" i="1"/>
  <c r="I94" i="1" s="1"/>
  <c r="G64" i="1"/>
  <c r="I64" i="1" s="1"/>
  <c r="G21" i="1"/>
  <c r="I21" i="1" s="1"/>
  <c r="G69" i="1"/>
  <c r="I69" i="1" s="1"/>
  <c r="G8" i="1"/>
  <c r="I8" i="1" s="1"/>
  <c r="G72" i="1"/>
  <c r="I72" i="1" s="1"/>
  <c r="G45" i="1"/>
  <c r="I45" i="1" s="1"/>
  <c r="G93" i="1"/>
  <c r="I93" i="1" s="1"/>
  <c r="G5" i="1"/>
  <c r="I5" i="1" s="1"/>
  <c r="G73" i="1"/>
  <c r="I73" i="1" s="1"/>
  <c r="G86" i="1"/>
  <c r="I86" i="1" s="1"/>
  <c r="G34" i="1"/>
  <c r="I34" i="1" s="1"/>
  <c r="G16" i="1"/>
  <c r="I16" i="1" s="1"/>
  <c r="G48" i="1"/>
  <c r="I48" i="1" s="1"/>
  <c r="G96" i="1"/>
  <c r="I96" i="1" s="1"/>
  <c r="G53" i="1"/>
  <c r="I53" i="1" s="1"/>
  <c r="G85" i="1"/>
  <c r="I85" i="1" s="1"/>
  <c r="G26" i="1"/>
  <c r="I26" i="1" s="1"/>
  <c r="G20" i="1"/>
  <c r="I20" i="1" s="1"/>
  <c r="G36" i="1"/>
  <c r="I36" i="1" s="1"/>
  <c r="G52" i="1"/>
  <c r="I52" i="1" s="1"/>
  <c r="G68" i="1"/>
  <c r="I68" i="1" s="1"/>
  <c r="G84" i="1"/>
  <c r="I84" i="1" s="1"/>
  <c r="G100" i="1"/>
  <c r="I100" i="1" s="1"/>
  <c r="G66" i="1"/>
  <c r="I66" i="1" s="1"/>
  <c r="G9" i="1"/>
  <c r="I9" i="1" s="1"/>
  <c r="G25" i="1"/>
  <c r="I25" i="1" s="1"/>
  <c r="G41" i="1"/>
  <c r="I41" i="1" s="1"/>
  <c r="G57" i="1"/>
  <c r="I57" i="1" s="1"/>
  <c r="G89" i="1"/>
  <c r="I89" i="1" s="1"/>
  <c r="G6" i="1"/>
  <c r="I6" i="1" s="1"/>
  <c r="G30" i="1"/>
  <c r="I30" i="1" s="1"/>
  <c r="G74" i="1"/>
  <c r="I74" i="1" s="1"/>
  <c r="G24" i="1"/>
  <c r="I24" i="1" s="1"/>
  <c r="G56" i="1"/>
  <c r="I56" i="1" s="1"/>
  <c r="G88" i="1"/>
  <c r="I88" i="1" s="1"/>
  <c r="G10" i="1"/>
  <c r="I10" i="1" s="1"/>
  <c r="G82" i="1"/>
  <c r="I82" i="1" s="1"/>
  <c r="G13" i="1"/>
  <c r="I13" i="1" s="1"/>
  <c r="G29" i="1"/>
  <c r="I29" i="1" s="1"/>
  <c r="G77" i="1"/>
  <c r="I77" i="1" s="1"/>
  <c r="G32" i="1"/>
  <c r="I32" i="1" s="1"/>
  <c r="G80" i="1"/>
  <c r="I80" i="1" s="1"/>
  <c r="G54" i="1"/>
  <c r="I54" i="1" s="1"/>
  <c r="G37" i="1"/>
  <c r="I37" i="1" s="1"/>
  <c r="G101" i="1"/>
  <c r="I101" i="1" s="1"/>
  <c r="G70" i="1"/>
  <c r="I70" i="1" s="1"/>
  <c r="G14" i="1"/>
  <c r="I14" i="1" s="1"/>
  <c r="G50" i="1"/>
  <c r="I50" i="1" s="1"/>
  <c r="O8" i="5" l="1"/>
  <c r="K9" i="5" s="1"/>
  <c r="M9" i="5" s="1"/>
  <c r="N9" i="5" s="1"/>
  <c r="O9" i="5" s="1"/>
  <c r="K10" i="5" s="1"/>
  <c r="M10" i="5" s="1"/>
  <c r="N10" i="5" s="1"/>
  <c r="R4" i="4"/>
  <c r="O10" i="5" l="1"/>
  <c r="K11" i="5" s="1"/>
  <c r="M11" i="5" s="1"/>
  <c r="N11" i="5" s="1"/>
  <c r="O11" i="5" s="1"/>
  <c r="K12" i="5" s="1"/>
  <c r="M12" i="5" s="1"/>
  <c r="N12" i="5" s="1"/>
  <c r="O12" i="5" s="1"/>
  <c r="K13" i="5" s="1"/>
  <c r="M13" i="5" s="1"/>
  <c r="N13" i="5" s="1"/>
  <c r="O13" i="5" s="1"/>
  <c r="K14" i="5" s="1"/>
  <c r="M14" i="5" l="1"/>
  <c r="N14" i="5" s="1"/>
  <c r="O14" i="5" s="1"/>
  <c r="K15" i="5" s="1"/>
  <c r="M15" i="5" l="1"/>
  <c r="N15" i="5" s="1"/>
  <c r="O15" i="5" s="1"/>
  <c r="K16" i="5" s="1"/>
  <c r="M16" i="5" l="1"/>
  <c r="N16" i="5" s="1"/>
  <c r="O16" i="5" s="1"/>
  <c r="K17" i="5" s="1"/>
  <c r="M17" i="5" l="1"/>
  <c r="N17" i="5" s="1"/>
  <c r="O17" i="5" s="1"/>
  <c r="K18" i="5" s="1"/>
  <c r="M18" i="5" l="1"/>
  <c r="N18" i="5" s="1"/>
  <c r="O18" i="5" s="1"/>
  <c r="K19" i="5" s="1"/>
  <c r="M19" i="5" l="1"/>
  <c r="N19" i="5" s="1"/>
  <c r="O19" i="5" s="1"/>
  <c r="K20" i="5" s="1"/>
  <c r="M20" i="5" l="1"/>
  <c r="N20" i="5" s="1"/>
  <c r="O20" i="5" s="1"/>
  <c r="K21" i="5" s="1"/>
  <c r="M21" i="5" l="1"/>
  <c r="N21" i="5" s="1"/>
  <c r="O21" i="5" s="1"/>
  <c r="K22" i="5" s="1"/>
  <c r="M22" i="5" l="1"/>
  <c r="N22" i="5" s="1"/>
  <c r="O22" i="5" s="1"/>
  <c r="K23" i="5" s="1"/>
  <c r="M23" i="5" l="1"/>
  <c r="N23" i="5" s="1"/>
  <c r="O23" i="5" s="1"/>
  <c r="K24" i="5" s="1"/>
  <c r="M24" i="5" l="1"/>
  <c r="N24" i="5" s="1"/>
  <c r="O24" i="5" s="1"/>
  <c r="K25" i="5" s="1"/>
  <c r="M25" i="5" l="1"/>
  <c r="N25" i="5" s="1"/>
  <c r="O25" i="5" s="1"/>
  <c r="K26" i="5" s="1"/>
  <c r="M26" i="5" l="1"/>
  <c r="N26" i="5" s="1"/>
  <c r="O26" i="5" s="1"/>
  <c r="K27" i="5" s="1"/>
  <c r="M27" i="5" l="1"/>
  <c r="N27" i="5" s="1"/>
  <c r="O27" i="5" s="1"/>
  <c r="K28" i="5" s="1"/>
  <c r="M28" i="5" l="1"/>
  <c r="N28" i="5" s="1"/>
  <c r="O28" i="5" s="1"/>
  <c r="K29" i="5" s="1"/>
  <c r="M29" i="5" l="1"/>
  <c r="N29" i="5" s="1"/>
  <c r="O29" i="5" s="1"/>
  <c r="K30" i="5" s="1"/>
  <c r="M30" i="5" l="1"/>
  <c r="N30" i="5" s="1"/>
  <c r="O30" i="5" s="1"/>
  <c r="K31" i="5" s="1"/>
  <c r="M31" i="5" l="1"/>
  <c r="N31" i="5" s="1"/>
  <c r="O31" i="5" s="1"/>
  <c r="K32" i="5" s="1"/>
  <c r="M32" i="5" l="1"/>
  <c r="N32" i="5" s="1"/>
  <c r="O32" i="5" s="1"/>
  <c r="K33" i="5" s="1"/>
  <c r="M33" i="5" l="1"/>
  <c r="N33" i="5" s="1"/>
  <c r="O33" i="5" s="1"/>
  <c r="K34" i="5" s="1"/>
  <c r="M34" i="5" l="1"/>
  <c r="N34" i="5" s="1"/>
  <c r="O34" i="5" s="1"/>
  <c r="K35" i="5" s="1"/>
  <c r="M35" i="5" l="1"/>
  <c r="N35" i="5" s="1"/>
  <c r="O35" i="5" s="1"/>
  <c r="K36" i="5" s="1"/>
  <c r="M36" i="5" l="1"/>
  <c r="N36" i="5" s="1"/>
  <c r="O36" i="5" s="1"/>
  <c r="K37" i="5" s="1"/>
  <c r="M37" i="5" l="1"/>
  <c r="N37" i="5" s="1"/>
  <c r="O37" i="5" s="1"/>
  <c r="K38" i="5" s="1"/>
  <c r="M38" i="5" l="1"/>
  <c r="N38" i="5" s="1"/>
  <c r="O38" i="5" s="1"/>
  <c r="K39" i="5" s="1"/>
  <c r="M39" i="5" l="1"/>
  <c r="N39" i="5" s="1"/>
  <c r="O39" i="5" s="1"/>
  <c r="K40" i="5" s="1"/>
  <c r="M40" i="5" l="1"/>
  <c r="N40" i="5" s="1"/>
  <c r="O40" i="5" s="1"/>
  <c r="K41" i="5" s="1"/>
  <c r="M41" i="5" l="1"/>
  <c r="N41" i="5" s="1"/>
  <c r="O41" i="5" s="1"/>
  <c r="K42" i="5" s="1"/>
  <c r="M42" i="5" l="1"/>
  <c r="N42" i="5" s="1"/>
  <c r="O42" i="5" s="1"/>
  <c r="K43" i="5" s="1"/>
  <c r="M43" i="5" l="1"/>
  <c r="N43" i="5" s="1"/>
  <c r="O43" i="5" s="1"/>
  <c r="K44" i="5" s="1"/>
  <c r="M44" i="5" l="1"/>
  <c r="N44" i="5" s="1"/>
  <c r="O44" i="5" s="1"/>
  <c r="K45" i="5" s="1"/>
  <c r="M45" i="5" l="1"/>
  <c r="N45" i="5" s="1"/>
  <c r="O45" i="5" s="1"/>
  <c r="K46" i="5" s="1"/>
  <c r="M46" i="5" l="1"/>
  <c r="N46" i="5" s="1"/>
  <c r="O46" i="5" s="1"/>
  <c r="K47" i="5" s="1"/>
  <c r="M47" i="5" l="1"/>
  <c r="N47" i="5" s="1"/>
  <c r="O47" i="5" s="1"/>
  <c r="K48" i="5" s="1"/>
  <c r="M48" i="5" l="1"/>
  <c r="N48" i="5" s="1"/>
  <c r="O48" i="5" s="1"/>
  <c r="K49" i="5" s="1"/>
  <c r="M49" i="5" l="1"/>
  <c r="N49" i="5" s="1"/>
  <c r="O49" i="5" s="1"/>
  <c r="K50" i="5" s="1"/>
  <c r="M50" i="5" l="1"/>
  <c r="N50" i="5" s="1"/>
  <c r="O50" i="5" s="1"/>
  <c r="K51" i="5" s="1"/>
  <c r="M51" i="5" l="1"/>
  <c r="N51" i="5" s="1"/>
  <c r="O51" i="5" s="1"/>
  <c r="K52" i="5" s="1"/>
  <c r="M52" i="5" l="1"/>
  <c r="N52" i="5" s="1"/>
  <c r="O52" i="5" s="1"/>
  <c r="K53" i="5" s="1"/>
  <c r="M53" i="5" l="1"/>
  <c r="N53" i="5" s="1"/>
  <c r="O53" i="5" s="1"/>
  <c r="K54" i="5" s="1"/>
  <c r="M54" i="5" l="1"/>
  <c r="N54" i="5" s="1"/>
  <c r="O54" i="5" s="1"/>
  <c r="K55" i="5" s="1"/>
  <c r="M55" i="5" l="1"/>
  <c r="N55" i="5" s="1"/>
  <c r="O55" i="5" s="1"/>
  <c r="K56" i="5" s="1"/>
  <c r="M56" i="5" l="1"/>
  <c r="N56" i="5" s="1"/>
  <c r="O56" i="5" s="1"/>
  <c r="K57" i="5" s="1"/>
  <c r="M57" i="5" l="1"/>
  <c r="N57" i="5" s="1"/>
  <c r="O57" i="5" s="1"/>
  <c r="K58" i="5" s="1"/>
  <c r="M58" i="5" l="1"/>
  <c r="N58" i="5" s="1"/>
  <c r="O58" i="5" s="1"/>
  <c r="K59" i="5" s="1"/>
  <c r="M59" i="5" l="1"/>
  <c r="N59" i="5" s="1"/>
  <c r="O59" i="5" s="1"/>
  <c r="K60" i="5" s="1"/>
  <c r="M60" i="5" l="1"/>
  <c r="N60" i="5" s="1"/>
  <c r="O60" i="5" s="1"/>
  <c r="K61" i="5" s="1"/>
  <c r="M61" i="5" l="1"/>
  <c r="N61" i="5" s="1"/>
  <c r="O61" i="5" s="1"/>
  <c r="K62" i="5" s="1"/>
  <c r="M62" i="5" l="1"/>
  <c r="N62" i="5" s="1"/>
  <c r="O62" i="5" s="1"/>
  <c r="K63" i="5" s="1"/>
  <c r="M63" i="5" l="1"/>
  <c r="N63" i="5" s="1"/>
  <c r="O63" i="5" s="1"/>
  <c r="K64" i="5" s="1"/>
  <c r="M64" i="5" l="1"/>
  <c r="N64" i="5" s="1"/>
  <c r="O64" i="5" s="1"/>
  <c r="K65" i="5" s="1"/>
  <c r="M65" i="5" l="1"/>
  <c r="N65" i="5" s="1"/>
  <c r="O65" i="5" s="1"/>
</calcChain>
</file>

<file path=xl/sharedStrings.xml><?xml version="1.0" encoding="utf-8"?>
<sst xmlns="http://schemas.openxmlformats.org/spreadsheetml/2006/main" count="428" uniqueCount="250">
  <si>
    <t>Code</t>
  </si>
  <si>
    <t>Designation</t>
  </si>
  <si>
    <t>Catégorie</t>
  </si>
  <si>
    <t>Stock Initial</t>
  </si>
  <si>
    <t>Entrées</t>
  </si>
  <si>
    <t>Sorties</t>
  </si>
  <si>
    <t>Stock Actuel</t>
  </si>
  <si>
    <t>Seuil de Sécurité</t>
  </si>
  <si>
    <t>Statut</t>
  </si>
  <si>
    <t>A0001</t>
  </si>
  <si>
    <t>A0002</t>
  </si>
  <si>
    <t>A0003</t>
  </si>
  <si>
    <t>A0004</t>
  </si>
  <si>
    <t>A0005</t>
  </si>
  <si>
    <t>A0006</t>
  </si>
  <si>
    <t>A0007</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</si>
  <si>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</si>
  <si>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</si>
  <si>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</si>
  <si>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</si>
  <si>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</si>
  <si>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</si>
  <si>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</si>
  <si>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</si>
  <si>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</si>
  <si>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</si>
  <si>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</si>
  <si>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</si>
  <si>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</si>
  <si>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</si>
  <si>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</si>
  <si>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</si>
  <si>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</si>
  <si>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</si>
  <si>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</si>
  <si>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</si>
  <si>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</si>
  <si>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</si>
  <si>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</si>
  <si>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</si>
  <si>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</si>
  <si>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</si>
  <si>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</si>
  <si>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</si>
  <si>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</si>
  <si>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</si>
  <si>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</si>
  <si>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</si>
  <si>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</si>
  <si>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</si>
  <si>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</si>
  <si>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</si>
  <si>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</si>
  <si>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</si>
  <si>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</si>
  <si>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</si>
  <si>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</si>
  <si>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</si>
  <si>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</si>
  <si>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</si>
  <si>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</si>
  <si>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</si>
  <si>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</si>
  <si>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</si>
  <si>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</si>
  <si>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</si>
  <si>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</si>
  <si>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</si>
  <si>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</si>
  <si>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</si>
  <si>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</si>
  <si>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</si>
  <si>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</si>
  <si>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</si>
  <si>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</si>
  <si>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</si>
  <si>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</si>
  <si>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</si>
  <si>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</si>
  <si>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</si>
  <si>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</si>
  <si>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</si>
  <si>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</si>
  <si>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</si>
  <si>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</si>
  <si>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</si>
  <si>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</si>
  <si>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</si>
  <si>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</si>
  <si>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</si>
  <si>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</si>
  <si>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</si>
  <si>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</si>
  <si>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</si>
  <si>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</si>
  <si>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</si>
  <si>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</si>
  <si>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</si>
  <si>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</si>
  <si>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</si>
  <si>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</si>
  <si>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</si>
  <si>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</si>
  <si>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A0095</t>
  </si>
  <si>
    <t>A0096</t>
  </si>
  <si>
    <t>A0097</t>
  </si>
  <si>
    <t>A0098</t>
  </si>
  <si>
    <t>A0099</t>
  </si>
  <si>
    <t>A0100</t>
  </si>
  <si>
    <t>article 1</t>
  </si>
  <si>
    <t>article 2</t>
  </si>
  <si>
    <t>article 3</t>
  </si>
  <si>
    <t>article 4</t>
  </si>
  <si>
    <t>article 5</t>
  </si>
  <si>
    <t>article 6</t>
  </si>
  <si>
    <t>article 7</t>
  </si>
  <si>
    <t>article 8</t>
  </si>
  <si>
    <t>article 9</t>
  </si>
  <si>
    <t>article 10</t>
  </si>
  <si>
    <t>article 11</t>
  </si>
  <si>
    <t>article 12</t>
  </si>
  <si>
    <t>article 13</t>
  </si>
  <si>
    <t>article 14</t>
  </si>
  <si>
    <t>article 15</t>
  </si>
  <si>
    <t>article 16</t>
  </si>
  <si>
    <t>article 17</t>
  </si>
  <si>
    <t>article 18</t>
  </si>
  <si>
    <t>article 19</t>
  </si>
  <si>
    <t>article 20</t>
  </si>
  <si>
    <t>article 21</t>
  </si>
  <si>
    <t>article 22</t>
  </si>
  <si>
    <t>article 23</t>
  </si>
  <si>
    <t>article 24</t>
  </si>
  <si>
    <t>article 25</t>
  </si>
  <si>
    <t>article 26</t>
  </si>
  <si>
    <t>article 27</t>
  </si>
  <si>
    <t>article 28</t>
  </si>
  <si>
    <t>article 29</t>
  </si>
  <si>
    <t>article 30</t>
  </si>
  <si>
    <t>article 31</t>
  </si>
  <si>
    <t>article 32</t>
  </si>
  <si>
    <t>article 33</t>
  </si>
  <si>
    <t>article 34</t>
  </si>
  <si>
    <t>article 35</t>
  </si>
  <si>
    <t>article 36</t>
  </si>
  <si>
    <t>article 37</t>
  </si>
  <si>
    <t>article 38</t>
  </si>
  <si>
    <t>article 39</t>
  </si>
  <si>
    <t>article 40</t>
  </si>
  <si>
    <t>article 41</t>
  </si>
  <si>
    <t>article 42</t>
  </si>
  <si>
    <t>article 43</t>
  </si>
  <si>
    <t>article 44</t>
  </si>
  <si>
    <t>article 45</t>
  </si>
  <si>
    <t>article 46</t>
  </si>
  <si>
    <t>article 47</t>
  </si>
  <si>
    <t>article 48</t>
  </si>
  <si>
    <t>article 49</t>
  </si>
  <si>
    <t>article 50</t>
  </si>
  <si>
    <t>article 51</t>
  </si>
  <si>
    <t>article 52</t>
  </si>
  <si>
    <t>article 53</t>
  </si>
  <si>
    <t>article 54</t>
  </si>
  <si>
    <t>article 55</t>
  </si>
  <si>
    <t>article 56</t>
  </si>
  <si>
    <t>article 57</t>
  </si>
  <si>
    <t>article 58</t>
  </si>
  <si>
    <t>article 59</t>
  </si>
  <si>
    <t>article 60</t>
  </si>
  <si>
    <t>article 61</t>
  </si>
  <si>
    <t>article 62</t>
  </si>
  <si>
    <t>article 63</t>
  </si>
  <si>
    <t>article 64</t>
  </si>
  <si>
    <t>article 65</t>
  </si>
  <si>
    <t>article 66</t>
  </si>
  <si>
    <t>article 67</t>
  </si>
  <si>
    <t>article 68</t>
  </si>
  <si>
    <t>article 69</t>
  </si>
  <si>
    <t>article 70</t>
  </si>
  <si>
    <t>article 71</t>
  </si>
  <si>
    <t>article 72</t>
  </si>
  <si>
    <t>article 73</t>
  </si>
  <si>
    <t>article 74</t>
  </si>
  <si>
    <t>article 75</t>
  </si>
  <si>
    <t>article 76</t>
  </si>
  <si>
    <t>article 77</t>
  </si>
  <si>
    <t>article 78</t>
  </si>
  <si>
    <t>article 79</t>
  </si>
  <si>
    <t>article 80</t>
  </si>
  <si>
    <t>article 81</t>
  </si>
  <si>
    <t>article 82</t>
  </si>
  <si>
    <t>article 83</t>
  </si>
  <si>
    <t>article 84</t>
  </si>
  <si>
    <t>article 85</t>
  </si>
  <si>
    <t>article 86</t>
  </si>
  <si>
    <t>article 87</t>
  </si>
  <si>
    <t>article 88</t>
  </si>
  <si>
    <t>article 89</t>
  </si>
  <si>
    <t>article 90</t>
  </si>
  <si>
    <t>article 91</t>
  </si>
  <si>
    <t>article 92</t>
  </si>
  <si>
    <t>article 93</t>
  </si>
  <si>
    <t>article 94</t>
  </si>
  <si>
    <t>article 95</t>
  </si>
  <si>
    <t>article 96</t>
  </si>
  <si>
    <t>article 97</t>
  </si>
  <si>
    <t>article 98</t>
  </si>
  <si>
    <t>article 99</t>
  </si>
  <si>
    <t>article 100</t>
  </si>
  <si>
    <t>categorie 1</t>
  </si>
  <si>
    <t>categorie 2</t>
  </si>
  <si>
    <t>categorie 3</t>
  </si>
  <si>
    <t>categorie 4</t>
  </si>
  <si>
    <t>categorie 5</t>
  </si>
  <si>
    <t>categorie 6</t>
  </si>
  <si>
    <t>categorie 7</t>
  </si>
  <si>
    <t>categorie 8</t>
  </si>
  <si>
    <t>categorie 9</t>
  </si>
  <si>
    <t>categorie 10</t>
  </si>
  <si>
    <t>Categorie</t>
  </si>
  <si>
    <t>Sortie</t>
  </si>
  <si>
    <t>Quantité</t>
  </si>
  <si>
    <t>Mouvement</t>
  </si>
  <si>
    <t>Entrée</t>
  </si>
  <si>
    <t>TABLEAU DE BORD - GESTION DE STOCKS</t>
  </si>
  <si>
    <t>Comparatif Stock vs Seuil d'alerte</t>
  </si>
  <si>
    <t>En attente de reapprovisionnement</t>
  </si>
  <si>
    <t>Nombre de References</t>
  </si>
  <si>
    <t>CALCULATEUR D'AMORTISSEMENT</t>
  </si>
  <si>
    <t>Montant d'emprunt</t>
  </si>
  <si>
    <t>Taux d'interet(%)</t>
  </si>
  <si>
    <t>Duree(nombre d'annees)</t>
  </si>
  <si>
    <t>Mensualite</t>
  </si>
  <si>
    <t xml:space="preserve"> </t>
  </si>
  <si>
    <t>solde debut</t>
  </si>
  <si>
    <t>Interet</t>
  </si>
  <si>
    <t>Principal</t>
  </si>
  <si>
    <t>Solde Fin</t>
  </si>
  <si>
    <t>mois</t>
  </si>
  <si>
    <t>Analyse de Scenarios</t>
  </si>
  <si>
    <t>Simulateur Rapide</t>
  </si>
  <si>
    <t>Valeur Cible</t>
  </si>
  <si>
    <t>cliquez ici pour calculer le capital max pour une mensualite de:</t>
  </si>
  <si>
    <t>Cout du credit</t>
  </si>
  <si>
    <t>Tableau de Comparaison</t>
  </si>
  <si>
    <t>Banque A (5%)</t>
  </si>
  <si>
    <t>Banque B (6%)</t>
  </si>
  <si>
    <t>Banque C (7%)</t>
  </si>
  <si>
    <t>Cout total Interets</t>
  </si>
  <si>
    <t>Cout total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</si>
</sst>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FCFA-2C0C]_-;\-* #,##0.00\ [$FCFA-2C0C]_-;_-* &quot;-&quot;??\ [$FCFA-2C0C]_-;_-@_-"/>
  </numFmts>
  <fonts count="18">
    <font>
      <sz val="11"/>
      <color theme="1"/>
      <name val="Aptos Narrow"/>
      <family val="2"/>
      <scheme val="minor"/>
    </font>
    <font>
      <b/>
      <sz val="11"/>
      <color theme="1"/>
      <name val="Aptos Narrow"/>
      <family val="2"/>
      <scheme val="minor"/>
    </font>
    <font>
      <sz val="8"/>
      <name val="Aptos Narrow"/>
      <family val="2"/>
      <scheme val="minor"/>
    </font>
    <font>
      <sz val="11"/>
      <color theme="1"/>
      <name val="Segoe UI"/>
      <family val="2"/>
    </font>
    <font>
      <b/>
      <sz val="11"/>
      <color theme="1"/>
      <name val="Segoe UI"/>
      <family val="2"/>
    </font>
    <font>
      <b/>
      <sz val="48"/>
      <color theme="0"/>
      <name val="Aptos Narrow"/>
      <family val="2"/>
      <scheme val="minor"/>
    </font>
    <font>
      <sz val="11"/>
      <color theme="1"/>
      <name val="Segeo ui"/>
    </font>
    <font>
      <b/>
      <sz val="11"/>
      <color theme="4" tint="-0.249977111117893"/>
      <name val="Segeo ui"/>
    </font>
    <font>
      <b/>
      <sz val="12"/>
      <color theme="4" tint="-0.249977111117893"/>
      <name val="Segeo ui"/>
    </font>
    <font>
      <b/>
      <u/>
      <sz val="14"/>
      <color theme="4" tint="-0.249977111117893"/>
      <name val="Segeo ui"/>
    </font>
    <font>
      <b/>
      <sz val="24"/>
      <color theme="4" tint="-0.249977111117893"/>
      <name val="Segeo ui"/>
    </font>
    <font>
      <b/>
      <sz val="48"/>
      <color theme="4" tint="-0.249977111117893"/>
      <name val="Segeo ui"/>
    </font>
    <font>
      <sz val="12"/>
      <color theme="4" tint="-0.249977111117893"/>
      <name val="Aptos Narrow"/>
      <family val="2"/>
      <scheme val="minor"/>
    </font>
    <font>
      <b/>
      <sz val="28"/>
      <color theme="0"/>
      <name val="Segeo ui"/>
    </font>
    <font>
      <b/>
      <sz val="36"/>
      <color theme="0"/>
      <name val="Segeo"/>
    </font>
    <font>
      <sz val="11"/>
      <color theme="0"/>
      <name val="Segeo ui"/>
    </font>
    <font>
      <b/>
      <sz val="16"/>
      <color theme="0"/>
      <name val="Aptos Narrow"/>
      <family val="2"/>
      <scheme val="minor"/>
    </font>
    <font>
      <b/>
      <sz val="14"/>
      <color theme="0"/>
      <name val="Segeo ui"/>
    </font>
  </fonts>
  <fills count="4">
    <fill>
      <patternFill patternType="none"/>
    </fill>
    <fill>
      <patternFill patternType="gray125"/>
    </fill>
    <fill>
      <patternFill patternType="solid">
        <fgColor theme="5" tint="0.39997558519241921"/>
        <bgColor indexed="64"/>
      </patternFill>
    </fill>
    <fill>
      <patternFill patternType="solid">
        <fgColor theme="4"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8">
    <xf numFmtId="0" fontId="0" fillId="0" borderId="0" xfId="0"/>
    <xf numFmtId="0" fontId="0" fillId="0" borderId="1" xfId="0" applyBorder="1"/>
    <xf numFmtId="0" fontId="0" fillId="0" borderId="3" xfId="0" applyBorder="1"/>
    <xf numFmtId="0" fontId="3" fillId="0" borderId="0" xfId="0" applyFont="1"/>
    <xf numFmtId="0" fontId="3" fillId="0" borderId="3" xfId="0" applyFont="1" applyBorder="1"/>
    <xf numFmtId="0" fontId="3" fillId="0" borderId="1" xfId="0" applyFont="1" applyBorder="1"/>
    <xf numFmtId="0" fontId="3" fillId="0" borderId="0" xfId="0" applyFont="1" applyAlignment="1">
      <alignment horizontal="right"/>
    </xf>
    <xf numFmtId="0" fontId="4" fillId="0" borderId="0" xfId="0" applyFont="1" applyAlignment="1">
      <alignment horizontal="right"/>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0" fillId="0" borderId="2" xfId="0" applyBorder="1"/>
    <xf numFmtId="0" fontId="4" fillId="0" borderId="9" xfId="0" applyFont="1" applyBorder="1" applyAlignment="1">
      <alignment horizontal="right"/>
    </xf>
    <xf numFmtId="0" fontId="4" fillId="0" borderId="10" xfId="0" applyFont="1" applyBorder="1" applyAlignment="1">
      <alignment horizontal="right"/>
    </xf>
    <xf numFmtId="0" fontId="4" fillId="0" borderId="11" xfId="0" applyFont="1" applyBorder="1"/>
    <xf numFmtId="0" fontId="3" fillId="0" borderId="3" xfId="0" applyFont="1" applyBorder="1" applyAlignment="1">
      <alignment horizontal="right"/>
    </xf>
    <xf numFmtId="0" fontId="4" fillId="0" borderId="5" xfId="0" applyFont="1" applyBorder="1" applyAlignment="1">
      <alignment horizontal="center"/>
    </xf>
    <xf numFmtId="0" fontId="4" fillId="0" borderId="12" xfId="0"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0" fillId="2" borderId="0" xfId="0" applyFill="1"/>
    <xf numFmtId="0" fontId="0" fillId="3" borderId="0" xfId="0" applyFill="1"/>
    <xf numFmtId="0" fontId="5" fillId="2" borderId="0" xfId="0" applyFont="1" applyFill="1" applyAlignment="1">
      <alignment horizontal="center"/>
    </xf>
    <xf numFmtId="0" fontId="10" fillId="2" borderId="0" xfId="0" applyFont="1" applyFill="1" applyAlignment="1">
      <alignment horizontal="center" vertical="center"/>
    </xf>
    <xf numFmtId="0" fontId="11" fillId="2" borderId="0" xfId="0" applyFont="1" applyFill="1"/>
    <xf numFmtId="0" fontId="11" fillId="2" borderId="0" xfId="0" applyFont="1" applyFill="1" applyAlignment="1">
      <alignment vertical="center"/>
    </xf>
    <xf numFmtId="164" fontId="0" fillId="0" borderId="0" xfId="0" applyNumberFormat="1"/>
    <xf numFmtId="0" fontId="7" fillId="0" borderId="1" xfId="0" applyFont="1" applyBorder="1"/>
    <xf numFmtId="0" fontId="6" fillId="0" borderId="1" xfId="0" applyFont="1" applyBorder="1"/>
    <xf numFmtId="0" fontId="7" fillId="0" borderId="13" xfId="0" applyFont="1" applyBorder="1"/>
    <xf numFmtId="0" fontId="6" fillId="0" borderId="17" xfId="0" applyFont="1" applyBorder="1"/>
    <xf numFmtId="164" fontId="15" fillId="3" borderId="0" xfId="0" applyNumberFormat="1" applyFont="1" applyFill="1"/>
    <xf numFmtId="0" fontId="7" fillId="0" borderId="18" xfId="0" applyFont="1" applyBorder="1" applyAlignment="1">
      <alignment horizontal="center" wrapText="1"/>
    </xf>
    <xf numFmtId="0" fontId="7" fillId="0" borderId="19" xfId="0" applyFont="1" applyBorder="1" applyAlignment="1">
      <alignment horizontal="center" wrapText="1"/>
    </xf>
    <xf numFmtId="164" fontId="6" fillId="0" borderId="19" xfId="0" applyNumberFormat="1" applyFont="1" applyBorder="1" applyAlignment="1">
      <alignment horizontal="center"/>
    </xf>
    <xf numFmtId="164" fontId="6" fillId="0" borderId="20" xfId="0" applyNumberFormat="1" applyFont="1" applyBorder="1" applyAlignment="1">
      <alignment horizontal="center"/>
    </xf>
    <xf numFmtId="2" fontId="6" fillId="0" borderId="19" xfId="0" applyNumberFormat="1" applyFont="1" applyBorder="1" applyAlignment="1">
      <alignment horizontal="center"/>
    </xf>
    <xf numFmtId="2" fontId="6" fillId="0" borderId="20" xfId="0" applyNumberFormat="1" applyFont="1" applyBorder="1" applyAlignment="1">
      <alignment horizontal="center"/>
    </xf>
    <xf numFmtId="0" fontId="16" fillId="3" borderId="0" xfId="0" applyFont="1" applyFill="1" applyAlignment="1">
      <alignment horizontal="center"/>
    </xf>
    <xf numFmtId="0" fontId="17" fillId="3" borderId="0" xfId="0" applyFont="1" applyFill="1" applyAlignment="1">
      <alignment horizontal="center"/>
    </xf>
    <xf numFmtId="0" fontId="6" fillId="0" borderId="0" xfId="0" applyFont="1" applyAlignment="1">
      <alignment horizontal="center"/>
    </xf>
    <xf numFmtId="0" fontId="14" fillId="3" borderId="0" xfId="0" applyFont="1" applyFill="1" applyAlignment="1">
      <alignment horizontal="center"/>
    </xf>
    <xf numFmtId="0" fontId="7" fillId="0" borderId="14" xfId="0" applyFont="1" applyBorder="1" applyAlignment="1">
      <alignment horizontal="center" wrapText="1"/>
    </xf>
    <xf numFmtId="0" fontId="7" fillId="0" borderId="15" xfId="0" applyFont="1" applyBorder="1" applyAlignment="1">
      <alignment horizontal="center" wrapText="1"/>
    </xf>
    <xf numFmtId="164" fontId="6" fillId="0" borderId="15" xfId="0" applyNumberFormat="1" applyFont="1" applyBorder="1" applyAlignment="1">
      <alignment horizontal="center"/>
    </xf>
    <xf numFmtId="164" fontId="6" fillId="0" borderId="16" xfId="0" applyNumberFormat="1" applyFont="1" applyBorder="1" applyAlignment="1">
      <alignment horizontal="center"/>
    </xf>
    <xf numFmtId="0" fontId="7" fillId="0" borderId="13" xfId="0" applyFont="1" applyBorder="1" applyAlignment="1">
      <alignment horizontal="center" wrapText="1"/>
    </xf>
    <xf numFmtId="0" fontId="7" fillId="0" borderId="1" xfId="0" applyFont="1" applyBorder="1" applyAlignment="1">
      <alignment horizontal="center" wrapText="1"/>
    </xf>
    <xf numFmtId="10" fontId="6" fillId="0" borderId="1" xfId="0" applyNumberFormat="1" applyFont="1" applyBorder="1" applyAlignment="1">
      <alignment horizontal="center"/>
    </xf>
    <xf numFmtId="10" fontId="6" fillId="0" borderId="17" xfId="0" applyNumberFormat="1" applyFont="1" applyBorder="1" applyAlignment="1">
      <alignment horizontal="center"/>
    </xf>
    <xf numFmtId="0" fontId="5" fillId="3" borderId="0" xfId="0" applyFont="1" applyFill="1" applyAlignment="1">
      <alignment horizontal="center"/>
    </xf>
    <xf numFmtId="0" fontId="9" fillId="2" borderId="0" xfId="0" applyFont="1" applyFill="1" applyAlignment="1">
      <alignment horizontal="center"/>
    </xf>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13" fillId="3" borderId="0" xfId="0" applyFont="1" applyFill="1" applyAlignment="1">
      <alignment horizontal="center" vertical="center"/>
    </xf>
    <xf numFmtId="2" fontId="6" fillId="0" borderId="1" xfId="0" applyNumberFormat="1" applyFont="1" applyBorder="1" applyAlignment="1">
      <alignment horizontal="center"/>
    </xf>
    <xf numFmtId="2" fontId="6" fillId="0" borderId="17" xfId="0" applyNumberFormat="1" applyFont="1" applyBorder="1" applyAlignment="1">
      <alignment horizontal="center"/>
    </xf>
  </cellXfs>
  <cellStyles count="1">
    <cellStyle name="Normal" xfId="0" builtinId="0"/>
  </cellStyles>
  <dxfs count="29">
    <dxf>
      <font>
        <b/>
        <i val="0"/>
        <color theme="0"/>
      </font>
      <fill>
        <patternFill>
          <bgColor rgb="FF00B050"/>
        </patternFill>
      </fill>
    </dxf>
    <dxf>
      <font>
        <b/>
        <i val="0"/>
        <color theme="0"/>
      </font>
      <fill>
        <patternFill>
          <bgColor rgb="FFFF0000"/>
        </patternFill>
      </fill>
    </dxf>
    <dxf>
      <font>
        <b/>
        <i val="0"/>
        <color rgb="FFC00000"/>
      </font>
      <fill>
        <patternFill patternType="none">
          <bgColor auto="1"/>
        </patternFill>
      </fill>
    </dxf>
    <dxf>
      <font>
        <b/>
        <i val="0"/>
        <color rgb="FFC00000"/>
      </font>
      <fill>
        <patternFill patternType="none">
          <bgColor auto="1"/>
        </patternFill>
      </fill>
    </dxf>
    <dxf>
      <font>
        <b/>
        <i val="0"/>
        <color theme="0"/>
      </font>
      <fill>
        <patternFill>
          <bgColor rgb="FF00B050"/>
        </patternFill>
      </fill>
    </dxf>
    <dxf>
      <font>
        <b/>
        <i val="0"/>
        <color theme="0"/>
      </font>
      <fill>
        <patternFill>
          <bgColor rgb="FFFF0000"/>
        </patternFill>
      </fill>
    </dxf>
    <dxf>
      <font>
        <b/>
        <i val="0"/>
        <color rgb="FFC00000"/>
      </font>
      <fill>
        <patternFill patternType="none">
          <bgColor auto="1"/>
        </patternFill>
      </fill>
    </dxf>
    <dxf>
      <font>
        <b/>
        <i val="0"/>
        <color rgb="FFC00000"/>
      </font>
      <fill>
        <patternFill patternType="none">
          <bgColor auto="1"/>
        </patternFill>
      </fill>
    </dxf>
    <dxf>
      <font>
        <b val="0"/>
        <i val="0"/>
        <color rgb="FFFFFF00"/>
      </font>
      <numFmt numFmtId="165" formatCode="#,##0.00\ [$FCFA-2C0C]"/>
      <fill>
        <patternFill>
          <bgColor rgb="FF00B050"/>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medium">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Segoe UI"/>
        <family val="2"/>
        <scheme val="none"/>
      </font>
      <border diagonalUp="0" diagonalDown="0">
        <left style="thin">
          <color indexed="64"/>
        </left>
        <right/>
        <top/>
        <bottom style="thin">
          <color indexed="64"/>
        </bottom>
        <vertical/>
        <horizontal/>
      </border>
    </dxf>
    <dxf>
      <font>
        <b val="0"/>
        <i val="0"/>
        <strike val="0"/>
        <condense val="0"/>
        <extend val="0"/>
        <outline val="0"/>
        <shadow val="0"/>
        <u val="none"/>
        <vertAlign val="baseline"/>
        <sz val="11"/>
        <color theme="1"/>
        <name val="Segoe UI"/>
        <family val="2"/>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egoe UI"/>
        <family val="2"/>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Segoe UI"/>
        <family val="2"/>
        <scheme val="none"/>
      </font>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rder>
    </dxf>
    <dxf>
      <border outline="0">
        <bottom style="medium">
          <color indexed="64"/>
        </bottom>
      </border>
    </dxf>
    <dxf>
      <font>
        <b/>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lineChart>
        <c:grouping val="standard"/>
        <c:varyColors val="0"/>
        <c:ser>
          <c:idx val="0"/>
          <c:order val="0"/>
          <c:tx>
            <c:strRef>
              <c:f>REFERENCE!$G$1</c:f>
              <c:strCache>
                <c:ptCount val="1"/>
                <c:pt idx="0">
                  <c:v>Stock Actuel</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REFERENCE!$B$2:$C$101</c15:sqref>
                  </c15:fullRef>
                  <c15:levelRef>
                    <c15:sqref>REFERENCE!$B$2:$B$101</c15:sqref>
                  </c15:levelRef>
                </c:ext>
              </c:extLst>
              <c:f>REFERENCE!$B$2:$B$101</c:f>
              <c:strCache>
                <c:ptCount val="100"/>
                <c:pt idx="0">
                  <c:v>article 1</c:v>
                </c:pt>
                <c:pt idx="1">
                  <c:v>article 2</c:v>
                </c:pt>
                <c:pt idx="2">
                  <c:v>article 3</c:v>
                </c:pt>
                <c:pt idx="3">
                  <c:v>article 4</c:v>
                </c:pt>
                <c:pt idx="4">
                  <c:v>article 5</c:v>
                </c:pt>
                <c:pt idx="5">
                  <c:v>article 6</c:v>
                </c:pt>
                <c:pt idx="6">
                  <c:v>article 7</c:v>
                </c:pt>
                <c:pt idx="7">
                  <c:v>article 8</c:v>
                </c:pt>
                <c:pt idx="8">
                  <c:v>article 9</c:v>
                </c:pt>
                <c:pt idx="9">
                  <c:v>article 10</c:v>
                </c:pt>
                <c:pt idx="10">
                  <c:v>article 11</c:v>
                </c:pt>
                <c:pt idx="11">
                  <c:v>article 12</c:v>
                </c:pt>
                <c:pt idx="12">
                  <c:v>article 13</c:v>
                </c:pt>
                <c:pt idx="13">
                  <c:v>article 14</c:v>
                </c:pt>
                <c:pt idx="14">
                  <c:v>article 15</c:v>
                </c:pt>
                <c:pt idx="15">
                  <c:v>article 16</c:v>
                </c:pt>
                <c:pt idx="16">
                  <c:v>article 17</c:v>
                </c:pt>
                <c:pt idx="17">
                  <c:v>article 18</c:v>
                </c:pt>
                <c:pt idx="18">
                  <c:v>article 19</c:v>
                </c:pt>
                <c:pt idx="19">
                  <c:v>article 20</c:v>
                </c:pt>
                <c:pt idx="20">
                  <c:v>article 21</c:v>
                </c:pt>
                <c:pt idx="21">
                  <c:v>article 22</c:v>
                </c:pt>
                <c:pt idx="22">
                  <c:v>article 23</c:v>
                </c:pt>
                <c:pt idx="23">
                  <c:v>article 24</c:v>
                </c:pt>
                <c:pt idx="24">
                  <c:v>article 25</c:v>
                </c:pt>
                <c:pt idx="25">
                  <c:v>article 26</c:v>
                </c:pt>
                <c:pt idx="26">
                  <c:v>article 27</c:v>
                </c:pt>
                <c:pt idx="27">
                  <c:v>article 28</c:v>
                </c:pt>
                <c:pt idx="28">
                  <c:v>article 29</c:v>
                </c:pt>
                <c:pt idx="29">
                  <c:v>article 30</c:v>
                </c:pt>
                <c:pt idx="30">
                  <c:v>article 31</c:v>
                </c:pt>
                <c:pt idx="31">
                  <c:v>article 32</c:v>
                </c:pt>
                <c:pt idx="32">
                  <c:v>article 33</c:v>
                </c:pt>
                <c:pt idx="33">
                  <c:v>article 34</c:v>
                </c:pt>
                <c:pt idx="34">
                  <c:v>article 35</c:v>
                </c:pt>
                <c:pt idx="35">
                  <c:v>article 36</c:v>
                </c:pt>
                <c:pt idx="36">
                  <c:v>article 37</c:v>
                </c:pt>
                <c:pt idx="37">
                  <c:v>article 38</c:v>
                </c:pt>
                <c:pt idx="38">
                  <c:v>article 39</c:v>
                </c:pt>
                <c:pt idx="39">
                  <c:v>article 40</c:v>
                </c:pt>
                <c:pt idx="40">
                  <c:v>article 41</c:v>
                </c:pt>
                <c:pt idx="41">
                  <c:v>article 42</c:v>
                </c:pt>
                <c:pt idx="42">
                  <c:v>article 43</c:v>
                </c:pt>
                <c:pt idx="43">
                  <c:v>article 44</c:v>
                </c:pt>
                <c:pt idx="44">
                  <c:v>article 45</c:v>
                </c:pt>
                <c:pt idx="45">
                  <c:v>article 46</c:v>
                </c:pt>
                <c:pt idx="46">
                  <c:v>article 47</c:v>
                </c:pt>
                <c:pt idx="47">
                  <c:v>article 48</c:v>
                </c:pt>
                <c:pt idx="48">
                  <c:v>article 49</c:v>
                </c:pt>
                <c:pt idx="49">
                  <c:v>article 50</c:v>
                </c:pt>
                <c:pt idx="50">
                  <c:v>article 51</c:v>
                </c:pt>
                <c:pt idx="51">
                  <c:v>article 52</c:v>
                </c:pt>
                <c:pt idx="52">
                  <c:v>article 53</c:v>
                </c:pt>
                <c:pt idx="53">
                  <c:v>article 54</c:v>
                </c:pt>
                <c:pt idx="54">
                  <c:v>article 55</c:v>
                </c:pt>
                <c:pt idx="55">
                  <c:v>article 56</c:v>
                </c:pt>
                <c:pt idx="56">
                  <c:v>article 57</c:v>
                </c:pt>
                <c:pt idx="57">
                  <c:v>article 58</c:v>
                </c:pt>
                <c:pt idx="58">
                  <c:v>article 59</c:v>
                </c:pt>
                <c:pt idx="59">
                  <c:v>article 60</c:v>
                </c:pt>
                <c:pt idx="60">
                  <c:v>article 61</c:v>
                </c:pt>
                <c:pt idx="61">
                  <c:v>article 62</c:v>
                </c:pt>
                <c:pt idx="62">
                  <c:v>article 63</c:v>
                </c:pt>
                <c:pt idx="63">
                  <c:v>article 64</c:v>
                </c:pt>
                <c:pt idx="64">
                  <c:v>article 65</c:v>
                </c:pt>
                <c:pt idx="65">
                  <c:v>article 66</c:v>
                </c:pt>
                <c:pt idx="66">
                  <c:v>article 67</c:v>
                </c:pt>
                <c:pt idx="67">
                  <c:v>article 68</c:v>
                </c:pt>
                <c:pt idx="68">
                  <c:v>article 69</c:v>
                </c:pt>
                <c:pt idx="69">
                  <c:v>article 70</c:v>
                </c:pt>
                <c:pt idx="70">
                  <c:v>article 71</c:v>
                </c:pt>
                <c:pt idx="71">
                  <c:v>article 72</c:v>
                </c:pt>
                <c:pt idx="72">
                  <c:v>article 73</c:v>
                </c:pt>
                <c:pt idx="73">
                  <c:v>article 74</c:v>
                </c:pt>
                <c:pt idx="74">
                  <c:v>article 75</c:v>
                </c:pt>
                <c:pt idx="75">
                  <c:v>article 76</c:v>
                </c:pt>
                <c:pt idx="76">
                  <c:v>article 77</c:v>
                </c:pt>
                <c:pt idx="77">
                  <c:v>article 78</c:v>
                </c:pt>
                <c:pt idx="78">
                  <c:v>article 79</c:v>
                </c:pt>
                <c:pt idx="79">
                  <c:v>article 80</c:v>
                </c:pt>
                <c:pt idx="80">
                  <c:v>article 81</c:v>
                </c:pt>
                <c:pt idx="81">
                  <c:v>article 82</c:v>
                </c:pt>
                <c:pt idx="82">
                  <c:v>article 83</c:v>
                </c:pt>
                <c:pt idx="83">
                  <c:v>article 84</c:v>
                </c:pt>
                <c:pt idx="84">
                  <c:v>article 85</c:v>
                </c:pt>
                <c:pt idx="85">
                  <c:v>article 86</c:v>
                </c:pt>
                <c:pt idx="86">
                  <c:v>article 87</c:v>
                </c:pt>
                <c:pt idx="87">
                  <c:v>article 88</c:v>
                </c:pt>
                <c:pt idx="88">
                  <c:v>article 89</c:v>
                </c:pt>
                <c:pt idx="89">
                  <c:v>article 90</c:v>
                </c:pt>
                <c:pt idx="90">
                  <c:v>article 91</c:v>
                </c:pt>
                <c:pt idx="91">
                  <c:v>article 92</c:v>
                </c:pt>
                <c:pt idx="92">
                  <c:v>article 93</c:v>
                </c:pt>
                <c:pt idx="93">
                  <c:v>article 94</c:v>
                </c:pt>
                <c:pt idx="94">
                  <c:v>article 95</c:v>
                </c:pt>
                <c:pt idx="95">
                  <c:v>article 96</c:v>
                </c:pt>
                <c:pt idx="96">
                  <c:v>article 97</c:v>
                </c:pt>
                <c:pt idx="97">
                  <c:v>article 98</c:v>
                </c:pt>
                <c:pt idx="98">
                  <c:v>article 99</c:v>
                </c:pt>
                <c:pt idx="99">
                  <c:v>article 100</c:v>
                </c:pt>
              </c:strCache>
            </c:strRef>
          </c:cat>
          <c:val>
            <c:numRef>
              <c:f>REFERENCE!$G$2:$G$101</c:f>
              <c:numCache>
                <c:formatCode>General</c:formatCode>
                <c:ptCount val="100"/>
                <c:pt idx="0">
                  <c:v>50</c:v>
                </c:pt>
                <c:pt idx="1">
                  <c:v>30</c:v>
                </c:pt>
                <c:pt idx="2">
                  <c:v>25</c:v>
                </c:pt>
                <c:pt idx="3">
                  <c:v>60</c:v>
                </c:pt>
                <c:pt idx="4">
                  <c:v>31</c:v>
                </c:pt>
                <c:pt idx="5">
                  <c:v>47</c:v>
                </c:pt>
                <c:pt idx="6">
                  <c:v>42</c:v>
                </c:pt>
                <c:pt idx="7">
                  <c:v>50</c:v>
                </c:pt>
                <c:pt idx="8">
                  <c:v>29</c:v>
                </c:pt>
                <c:pt idx="9">
                  <c:v>37</c:v>
                </c:pt>
                <c:pt idx="10">
                  <c:v>40</c:v>
                </c:pt>
                <c:pt idx="11">
                  <c:v>25</c:v>
                </c:pt>
                <c:pt idx="12">
                  <c:v>44</c:v>
                </c:pt>
                <c:pt idx="13">
                  <c:v>27</c:v>
                </c:pt>
                <c:pt idx="14">
                  <c:v>29</c:v>
                </c:pt>
                <c:pt idx="15">
                  <c:v>20</c:v>
                </c:pt>
                <c:pt idx="16">
                  <c:v>40</c:v>
                </c:pt>
                <c:pt idx="17">
                  <c:v>10</c:v>
                </c:pt>
                <c:pt idx="18">
                  <c:v>57</c:v>
                </c:pt>
                <c:pt idx="19">
                  <c:v>10</c:v>
                </c:pt>
                <c:pt idx="20">
                  <c:v>10</c:v>
                </c:pt>
                <c:pt idx="21">
                  <c:v>10</c:v>
                </c:pt>
                <c:pt idx="22">
                  <c:v>10</c:v>
                </c:pt>
                <c:pt idx="23">
                  <c:v>10</c:v>
                </c:pt>
                <c:pt idx="24">
                  <c:v>10</c:v>
                </c:pt>
                <c:pt idx="25">
                  <c:v>30</c:v>
                </c:pt>
                <c:pt idx="26">
                  <c:v>10</c:v>
                </c:pt>
                <c:pt idx="27">
                  <c:v>10</c:v>
                </c:pt>
                <c:pt idx="28">
                  <c:v>10</c:v>
                </c:pt>
                <c:pt idx="29">
                  <c:v>10</c:v>
                </c:pt>
                <c:pt idx="30">
                  <c:v>10</c:v>
                </c:pt>
                <c:pt idx="31">
                  <c:v>10</c:v>
                </c:pt>
                <c:pt idx="32">
                  <c:v>10</c:v>
                </c:pt>
                <c:pt idx="33">
                  <c:v>10</c:v>
                </c:pt>
                <c:pt idx="34">
                  <c:v>10</c:v>
                </c:pt>
                <c:pt idx="35">
                  <c:v>39</c:v>
                </c:pt>
                <c:pt idx="36">
                  <c:v>10</c:v>
                </c:pt>
                <c:pt idx="37">
                  <c:v>10</c:v>
                </c:pt>
                <c:pt idx="38">
                  <c:v>73</c:v>
                </c:pt>
                <c:pt idx="39">
                  <c:v>10</c:v>
                </c:pt>
                <c:pt idx="40">
                  <c:v>10</c:v>
                </c:pt>
                <c:pt idx="41">
                  <c:v>10</c:v>
                </c:pt>
                <c:pt idx="42">
                  <c:v>10</c:v>
                </c:pt>
                <c:pt idx="43">
                  <c:v>10</c:v>
                </c:pt>
                <c:pt idx="44">
                  <c:v>10</c:v>
                </c:pt>
                <c:pt idx="45">
                  <c:v>39</c:v>
                </c:pt>
                <c:pt idx="46">
                  <c:v>10</c:v>
                </c:pt>
                <c:pt idx="47">
                  <c:v>10</c:v>
                </c:pt>
                <c:pt idx="48">
                  <c:v>77</c:v>
                </c:pt>
                <c:pt idx="49">
                  <c:v>10</c:v>
                </c:pt>
                <c:pt idx="50">
                  <c:v>10</c:v>
                </c:pt>
                <c:pt idx="51">
                  <c:v>10</c:v>
                </c:pt>
                <c:pt idx="52">
                  <c:v>10</c:v>
                </c:pt>
                <c:pt idx="53">
                  <c:v>10</c:v>
                </c:pt>
                <c:pt idx="54">
                  <c:v>10</c:v>
                </c:pt>
                <c:pt idx="55">
                  <c:v>27</c:v>
                </c:pt>
                <c:pt idx="56">
                  <c:v>10</c:v>
                </c:pt>
                <c:pt idx="57">
                  <c:v>10</c:v>
                </c:pt>
                <c:pt idx="58">
                  <c:v>55</c:v>
                </c:pt>
                <c:pt idx="59">
                  <c:v>10</c:v>
                </c:pt>
                <c:pt idx="60">
                  <c:v>10</c:v>
                </c:pt>
                <c:pt idx="61">
                  <c:v>10</c:v>
                </c:pt>
                <c:pt idx="62">
                  <c:v>10</c:v>
                </c:pt>
                <c:pt idx="63">
                  <c:v>10</c:v>
                </c:pt>
                <c:pt idx="64">
                  <c:v>10</c:v>
                </c:pt>
                <c:pt idx="65">
                  <c:v>29</c:v>
                </c:pt>
                <c:pt idx="66">
                  <c:v>10</c:v>
                </c:pt>
                <c:pt idx="67">
                  <c:v>10</c:v>
                </c:pt>
                <c:pt idx="68">
                  <c:v>63</c:v>
                </c:pt>
                <c:pt idx="69">
                  <c:v>10</c:v>
                </c:pt>
                <c:pt idx="70">
                  <c:v>10</c:v>
                </c:pt>
                <c:pt idx="71">
                  <c:v>10</c:v>
                </c:pt>
                <c:pt idx="72">
                  <c:v>10</c:v>
                </c:pt>
                <c:pt idx="73">
                  <c:v>10</c:v>
                </c:pt>
                <c:pt idx="74">
                  <c:v>10</c:v>
                </c:pt>
                <c:pt idx="75">
                  <c:v>25</c:v>
                </c:pt>
                <c:pt idx="76">
                  <c:v>10</c:v>
                </c:pt>
                <c:pt idx="77">
                  <c:v>10</c:v>
                </c:pt>
                <c:pt idx="78">
                  <c:v>51</c:v>
                </c:pt>
                <c:pt idx="79">
                  <c:v>10</c:v>
                </c:pt>
                <c:pt idx="80">
                  <c:v>10</c:v>
                </c:pt>
                <c:pt idx="81">
                  <c:v>10</c:v>
                </c:pt>
                <c:pt idx="82">
                  <c:v>10</c:v>
                </c:pt>
                <c:pt idx="83">
                  <c:v>10</c:v>
                </c:pt>
                <c:pt idx="84">
                  <c:v>10</c:v>
                </c:pt>
                <c:pt idx="85">
                  <c:v>31</c:v>
                </c:pt>
                <c:pt idx="86">
                  <c:v>10</c:v>
                </c:pt>
                <c:pt idx="87">
                  <c:v>10</c:v>
                </c:pt>
                <c:pt idx="88">
                  <c:v>36</c:v>
                </c:pt>
                <c:pt idx="89">
                  <c:v>10</c:v>
                </c:pt>
                <c:pt idx="90">
                  <c:v>10</c:v>
                </c:pt>
                <c:pt idx="91">
                  <c:v>10</c:v>
                </c:pt>
                <c:pt idx="92">
                  <c:v>10</c:v>
                </c:pt>
                <c:pt idx="93">
                  <c:v>10</c:v>
                </c:pt>
                <c:pt idx="94">
                  <c:v>10</c:v>
                </c:pt>
                <c:pt idx="95">
                  <c:v>55</c:v>
                </c:pt>
                <c:pt idx="96">
                  <c:v>10</c:v>
                </c:pt>
                <c:pt idx="97">
                  <c:v>23</c:v>
                </c:pt>
                <c:pt idx="98">
                  <c:v>61</c:v>
                </c:pt>
                <c:pt idx="99">
                  <c:v>29</c:v>
                </c:pt>
              </c:numCache>
            </c:numRef>
          </c:val>
          <c:smooth val="0"/>
          <c:extLst>
            <c:ext xmlns:c16="http://schemas.microsoft.com/office/drawing/2014/chart" uri="{C3380CC4-5D6E-409C-BE32-E72D297353CC}">
              <c16:uniqueId val="{00000000-E852-4072-844F-A64B4E7DEED2}"/>
            </c:ext>
          </c:extLst>
        </c:ser>
        <c:ser>
          <c:idx val="1"/>
          <c:order val="1"/>
          <c:tx>
            <c:strRef>
              <c:f>REFERENCE!$H$1</c:f>
              <c:strCache>
                <c:ptCount val="1"/>
                <c:pt idx="0">
                  <c:v>Seuil de Sécurité</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REFERENCE!$B$2:$C$101</c15:sqref>
                  </c15:fullRef>
                  <c15:levelRef>
                    <c15:sqref>REFERENCE!$B$2:$B$101</c15:sqref>
                  </c15:levelRef>
                </c:ext>
              </c:extLst>
              <c:f>REFERENCE!$B$2:$B$101</c:f>
              <c:strCache>
                <c:ptCount val="100"/>
                <c:pt idx="0">
                  <c:v>article 1</c:v>
                </c:pt>
                <c:pt idx="1">
                  <c:v>article 2</c:v>
                </c:pt>
                <c:pt idx="2">
                  <c:v>article 3</c:v>
                </c:pt>
                <c:pt idx="3">
                  <c:v>article 4</c:v>
                </c:pt>
                <c:pt idx="4">
                  <c:v>article 5</c:v>
                </c:pt>
                <c:pt idx="5">
                  <c:v>article 6</c:v>
                </c:pt>
                <c:pt idx="6">
                  <c:v>article 7</c:v>
                </c:pt>
                <c:pt idx="7">
                  <c:v>article 8</c:v>
                </c:pt>
                <c:pt idx="8">
                  <c:v>article 9</c:v>
                </c:pt>
                <c:pt idx="9">
                  <c:v>article 10</c:v>
                </c:pt>
                <c:pt idx="10">
                  <c:v>article 11</c:v>
                </c:pt>
                <c:pt idx="11">
                  <c:v>article 12</c:v>
                </c:pt>
                <c:pt idx="12">
                  <c:v>article 13</c:v>
                </c:pt>
                <c:pt idx="13">
                  <c:v>article 14</c:v>
                </c:pt>
                <c:pt idx="14">
                  <c:v>article 15</c:v>
                </c:pt>
                <c:pt idx="15">
                  <c:v>article 16</c:v>
                </c:pt>
                <c:pt idx="16">
                  <c:v>article 17</c:v>
                </c:pt>
                <c:pt idx="17">
                  <c:v>article 18</c:v>
                </c:pt>
                <c:pt idx="18">
                  <c:v>article 19</c:v>
                </c:pt>
                <c:pt idx="19">
                  <c:v>article 20</c:v>
                </c:pt>
                <c:pt idx="20">
                  <c:v>article 21</c:v>
                </c:pt>
                <c:pt idx="21">
                  <c:v>article 22</c:v>
                </c:pt>
                <c:pt idx="22">
                  <c:v>article 23</c:v>
                </c:pt>
                <c:pt idx="23">
                  <c:v>article 24</c:v>
                </c:pt>
                <c:pt idx="24">
                  <c:v>article 25</c:v>
                </c:pt>
                <c:pt idx="25">
                  <c:v>article 26</c:v>
                </c:pt>
                <c:pt idx="26">
                  <c:v>article 27</c:v>
                </c:pt>
                <c:pt idx="27">
                  <c:v>article 28</c:v>
                </c:pt>
                <c:pt idx="28">
                  <c:v>article 29</c:v>
                </c:pt>
                <c:pt idx="29">
                  <c:v>article 30</c:v>
                </c:pt>
                <c:pt idx="30">
                  <c:v>article 31</c:v>
                </c:pt>
                <c:pt idx="31">
                  <c:v>article 32</c:v>
                </c:pt>
                <c:pt idx="32">
                  <c:v>article 33</c:v>
                </c:pt>
                <c:pt idx="33">
                  <c:v>article 34</c:v>
                </c:pt>
                <c:pt idx="34">
                  <c:v>article 35</c:v>
                </c:pt>
                <c:pt idx="35">
                  <c:v>article 36</c:v>
                </c:pt>
                <c:pt idx="36">
                  <c:v>article 37</c:v>
                </c:pt>
                <c:pt idx="37">
                  <c:v>article 38</c:v>
                </c:pt>
                <c:pt idx="38">
                  <c:v>article 39</c:v>
                </c:pt>
                <c:pt idx="39">
                  <c:v>article 40</c:v>
                </c:pt>
                <c:pt idx="40">
                  <c:v>article 41</c:v>
                </c:pt>
                <c:pt idx="41">
                  <c:v>article 42</c:v>
                </c:pt>
                <c:pt idx="42">
                  <c:v>article 43</c:v>
                </c:pt>
                <c:pt idx="43">
                  <c:v>article 44</c:v>
                </c:pt>
                <c:pt idx="44">
                  <c:v>article 45</c:v>
                </c:pt>
                <c:pt idx="45">
                  <c:v>article 46</c:v>
                </c:pt>
                <c:pt idx="46">
                  <c:v>article 47</c:v>
                </c:pt>
                <c:pt idx="47">
                  <c:v>article 48</c:v>
                </c:pt>
                <c:pt idx="48">
                  <c:v>article 49</c:v>
                </c:pt>
                <c:pt idx="49">
                  <c:v>article 50</c:v>
                </c:pt>
                <c:pt idx="50">
                  <c:v>article 51</c:v>
                </c:pt>
                <c:pt idx="51">
                  <c:v>article 52</c:v>
                </c:pt>
                <c:pt idx="52">
                  <c:v>article 53</c:v>
                </c:pt>
                <c:pt idx="53">
                  <c:v>article 54</c:v>
                </c:pt>
                <c:pt idx="54">
                  <c:v>article 55</c:v>
                </c:pt>
                <c:pt idx="55">
                  <c:v>article 56</c:v>
                </c:pt>
                <c:pt idx="56">
                  <c:v>article 57</c:v>
                </c:pt>
                <c:pt idx="57">
                  <c:v>article 58</c:v>
                </c:pt>
                <c:pt idx="58">
                  <c:v>article 59</c:v>
                </c:pt>
                <c:pt idx="59">
                  <c:v>article 60</c:v>
                </c:pt>
                <c:pt idx="60">
                  <c:v>article 61</c:v>
                </c:pt>
                <c:pt idx="61">
                  <c:v>article 62</c:v>
                </c:pt>
                <c:pt idx="62">
                  <c:v>article 63</c:v>
                </c:pt>
                <c:pt idx="63">
                  <c:v>article 64</c:v>
                </c:pt>
                <c:pt idx="64">
                  <c:v>article 65</c:v>
                </c:pt>
                <c:pt idx="65">
                  <c:v>article 66</c:v>
                </c:pt>
                <c:pt idx="66">
                  <c:v>article 67</c:v>
                </c:pt>
                <c:pt idx="67">
                  <c:v>article 68</c:v>
                </c:pt>
                <c:pt idx="68">
                  <c:v>article 69</c:v>
                </c:pt>
                <c:pt idx="69">
                  <c:v>article 70</c:v>
                </c:pt>
                <c:pt idx="70">
                  <c:v>article 71</c:v>
                </c:pt>
                <c:pt idx="71">
                  <c:v>article 72</c:v>
                </c:pt>
                <c:pt idx="72">
                  <c:v>article 73</c:v>
                </c:pt>
                <c:pt idx="73">
                  <c:v>article 74</c:v>
                </c:pt>
                <c:pt idx="74">
                  <c:v>article 75</c:v>
                </c:pt>
                <c:pt idx="75">
                  <c:v>article 76</c:v>
                </c:pt>
                <c:pt idx="76">
                  <c:v>article 77</c:v>
                </c:pt>
                <c:pt idx="77">
                  <c:v>article 78</c:v>
                </c:pt>
                <c:pt idx="78">
                  <c:v>article 79</c:v>
                </c:pt>
                <c:pt idx="79">
                  <c:v>article 80</c:v>
                </c:pt>
                <c:pt idx="80">
                  <c:v>article 81</c:v>
                </c:pt>
                <c:pt idx="81">
                  <c:v>article 82</c:v>
                </c:pt>
                <c:pt idx="82">
                  <c:v>article 83</c:v>
                </c:pt>
                <c:pt idx="83">
                  <c:v>article 84</c:v>
                </c:pt>
                <c:pt idx="84">
                  <c:v>article 85</c:v>
                </c:pt>
                <c:pt idx="85">
                  <c:v>article 86</c:v>
                </c:pt>
                <c:pt idx="86">
                  <c:v>article 87</c:v>
                </c:pt>
                <c:pt idx="87">
                  <c:v>article 88</c:v>
                </c:pt>
                <c:pt idx="88">
                  <c:v>article 89</c:v>
                </c:pt>
                <c:pt idx="89">
                  <c:v>article 90</c:v>
                </c:pt>
                <c:pt idx="90">
                  <c:v>article 91</c:v>
                </c:pt>
                <c:pt idx="91">
                  <c:v>article 92</c:v>
                </c:pt>
                <c:pt idx="92">
                  <c:v>article 93</c:v>
                </c:pt>
                <c:pt idx="93">
                  <c:v>article 94</c:v>
                </c:pt>
                <c:pt idx="94">
                  <c:v>article 95</c:v>
                </c:pt>
                <c:pt idx="95">
                  <c:v>article 96</c:v>
                </c:pt>
                <c:pt idx="96">
                  <c:v>article 97</c:v>
                </c:pt>
                <c:pt idx="97">
                  <c:v>article 98</c:v>
                </c:pt>
                <c:pt idx="98">
                  <c:v>article 99</c:v>
                </c:pt>
                <c:pt idx="99">
                  <c:v>article 100</c:v>
                </c:pt>
              </c:strCache>
            </c:strRef>
          </c:cat>
          <c:val>
            <c:numRef>
              <c:f>REFERENCE!$H$2:$H$101</c:f>
              <c:numCache>
                <c:formatCode>General</c:formatCode>
                <c:ptCount val="100"/>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pt idx="48">
                  <c:v>15</c:v>
                </c:pt>
                <c:pt idx="49">
                  <c:v>15</c:v>
                </c:pt>
                <c:pt idx="50">
                  <c:v>15</c:v>
                </c:pt>
                <c:pt idx="51">
                  <c:v>15</c:v>
                </c:pt>
                <c:pt idx="52">
                  <c:v>15</c:v>
                </c:pt>
                <c:pt idx="53">
                  <c:v>15</c:v>
                </c:pt>
                <c:pt idx="54">
                  <c:v>15</c:v>
                </c:pt>
                <c:pt idx="55">
                  <c:v>15</c:v>
                </c:pt>
                <c:pt idx="56">
                  <c:v>15</c:v>
                </c:pt>
                <c:pt idx="57">
                  <c:v>15</c:v>
                </c:pt>
                <c:pt idx="58">
                  <c:v>15</c:v>
                </c:pt>
                <c:pt idx="59">
                  <c:v>15</c:v>
                </c:pt>
                <c:pt idx="60">
                  <c:v>15</c:v>
                </c:pt>
                <c:pt idx="61">
                  <c:v>15</c:v>
                </c:pt>
                <c:pt idx="62">
                  <c:v>15</c:v>
                </c:pt>
                <c:pt idx="63">
                  <c:v>15</c:v>
                </c:pt>
                <c:pt idx="64">
                  <c:v>15</c:v>
                </c:pt>
                <c:pt idx="65">
                  <c:v>15</c:v>
                </c:pt>
                <c:pt idx="66">
                  <c:v>15</c:v>
                </c:pt>
                <c:pt idx="67">
                  <c:v>15</c:v>
                </c:pt>
                <c:pt idx="68">
                  <c:v>15</c:v>
                </c:pt>
                <c:pt idx="69">
                  <c:v>15</c:v>
                </c:pt>
                <c:pt idx="70">
                  <c:v>15</c:v>
                </c:pt>
                <c:pt idx="71">
                  <c:v>15</c:v>
                </c:pt>
                <c:pt idx="72">
                  <c:v>15</c:v>
                </c:pt>
                <c:pt idx="73">
                  <c:v>15</c:v>
                </c:pt>
                <c:pt idx="74">
                  <c:v>15</c:v>
                </c:pt>
                <c:pt idx="75">
                  <c:v>15</c:v>
                </c:pt>
                <c:pt idx="76">
                  <c:v>15</c:v>
                </c:pt>
                <c:pt idx="77">
                  <c:v>15</c:v>
                </c:pt>
                <c:pt idx="78">
                  <c:v>15</c:v>
                </c:pt>
                <c:pt idx="79">
                  <c:v>15</c:v>
                </c:pt>
                <c:pt idx="80">
                  <c:v>15</c:v>
                </c:pt>
                <c:pt idx="81">
                  <c:v>15</c:v>
                </c:pt>
                <c:pt idx="82">
                  <c:v>15</c:v>
                </c:pt>
                <c:pt idx="83">
                  <c:v>15</c:v>
                </c:pt>
                <c:pt idx="84">
                  <c:v>15</c:v>
                </c:pt>
                <c:pt idx="85">
                  <c:v>15</c:v>
                </c:pt>
                <c:pt idx="86">
                  <c:v>15</c:v>
                </c:pt>
                <c:pt idx="87">
                  <c:v>15</c:v>
                </c:pt>
                <c:pt idx="88">
                  <c:v>15</c:v>
                </c:pt>
                <c:pt idx="89">
                  <c:v>15</c:v>
                </c:pt>
                <c:pt idx="90">
                  <c:v>15</c:v>
                </c:pt>
                <c:pt idx="91">
                  <c:v>15</c:v>
                </c:pt>
                <c:pt idx="92">
                  <c:v>15</c:v>
                </c:pt>
                <c:pt idx="93">
                  <c:v>15</c:v>
                </c:pt>
                <c:pt idx="94">
                  <c:v>15</c:v>
                </c:pt>
                <c:pt idx="95">
                  <c:v>15</c:v>
                </c:pt>
                <c:pt idx="96">
                  <c:v>15</c:v>
                </c:pt>
                <c:pt idx="97">
                  <c:v>15</c:v>
                </c:pt>
                <c:pt idx="98">
                  <c:v>15</c:v>
                </c:pt>
                <c:pt idx="99">
                  <c:v>15</c:v>
                </c:pt>
              </c:numCache>
            </c:numRef>
          </c:val>
          <c:smooth val="0"/>
          <c:extLst>
            <c:ext xmlns:c16="http://schemas.microsoft.com/office/drawing/2014/chart" uri="{C3380CC4-5D6E-409C-BE32-E72D297353CC}">
              <c16:uniqueId val="{00000001-E852-4072-844F-A64B4E7DEED2}"/>
            </c:ext>
          </c:extLst>
        </c:ser>
        <c:dLbls>
          <c:showLegendKey val="0"/>
          <c:showVal val="0"/>
          <c:showCatName val="0"/>
          <c:showSerName val="0"/>
          <c:showPercent val="0"/>
          <c:showBubbleSize val="0"/>
        </c:dLbls>
        <c:smooth val="0"/>
        <c:axId val="1393519824"/>
        <c:axId val="1393530864"/>
      </c:lineChart>
      <c:catAx>
        <c:axId val="1393519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93530864"/>
        <c:crosses val="autoZero"/>
        <c:auto val="1"/>
        <c:lblAlgn val="ctr"/>
        <c:lblOffset val="100"/>
        <c:noMultiLvlLbl val="0"/>
      </c:catAx>
      <c:valAx>
        <c:axId val="139353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9351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Mouvement!A1"/><Relationship Id="rId2" Type="http://schemas.openxmlformats.org/officeDocument/2006/relationships/hyperlink" Target="#REFERENCE!A1"/><Relationship Id="rId1" Type="http://schemas.openxmlformats.org/officeDocument/2006/relationships/chart" Target="../charts/chart1.xml"/><Relationship Id="rId5" Type="http://schemas.openxmlformats.org/officeDocument/2006/relationships/hyperlink" Target="#Finance!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28575</xdr:colOff>
      <xdr:row>3</xdr:row>
      <xdr:rowOff>114300</xdr:rowOff>
    </xdr:from>
    <xdr:to>
      <xdr:col>10</xdr:col>
      <xdr:colOff>180975</xdr:colOff>
      <xdr:row>6</xdr:row>
      <xdr:rowOff>714375</xdr:rowOff>
    </xdr:to>
    <xdr:sp macro="" textlink="">
      <xdr:nvSpPr>
        <xdr:cNvPr id="3" name="Rectangle: Rounded Corners 2">
          <a:extLst>
            <a:ext uri="{FF2B5EF4-FFF2-40B4-BE49-F238E27FC236}">
              <a16:creationId xmlns:a16="http://schemas.microsoft.com/office/drawing/2014/main" id="{39C2A3FD-AD78-99D4-71FD-8823CDE4F9E9}"/>
            </a:ext>
          </a:extLst>
        </xdr:cNvPr>
        <xdr:cNvSpPr/>
      </xdr:nvSpPr>
      <xdr:spPr>
        <a:xfrm>
          <a:off x="1247775" y="1600200"/>
          <a:ext cx="5029200" cy="282892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M" sz="1100"/>
        </a:p>
      </xdr:txBody>
    </xdr:sp>
    <xdr:clientData/>
  </xdr:twoCellAnchor>
  <xdr:twoCellAnchor>
    <xdr:from>
      <xdr:col>2</xdr:col>
      <xdr:colOff>304800</xdr:colOff>
      <xdr:row>3</xdr:row>
      <xdr:rowOff>295274</xdr:rowOff>
    </xdr:from>
    <xdr:to>
      <xdr:col>9</xdr:col>
      <xdr:colOff>533400</xdr:colOff>
      <xdr:row>6</xdr:row>
      <xdr:rowOff>666749</xdr:rowOff>
    </xdr:to>
    <xdr:graphicFrame macro="">
      <xdr:nvGraphicFramePr>
        <xdr:cNvPr id="2" name="Chart 1">
          <a:extLst>
            <a:ext uri="{FF2B5EF4-FFF2-40B4-BE49-F238E27FC236}">
              <a16:creationId xmlns:a16="http://schemas.microsoft.com/office/drawing/2014/main" id="{2DAF8C99-F23D-4BD8-B509-44910A133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342900</xdr:colOff>
      <xdr:row>3</xdr:row>
      <xdr:rowOff>123825</xdr:rowOff>
    </xdr:from>
    <xdr:to>
      <xdr:col>13</xdr:col>
      <xdr:colOff>476250</xdr:colOff>
      <xdr:row>6</xdr:row>
      <xdr:rowOff>733425</xdr:rowOff>
    </xdr:to>
    <mc:AlternateContent xmlns:mc="http://schemas.openxmlformats.org/markup-compatibility/2006" xmlns:sle15="http://schemas.microsoft.com/office/drawing/2012/slicer">
      <mc:Choice Requires="sle15">
        <xdr:graphicFrame macro="">
          <xdr:nvGraphicFramePr>
            <xdr:cNvPr id="4" name="Catégorie">
              <a:extLst>
                <a:ext uri="{FF2B5EF4-FFF2-40B4-BE49-F238E27FC236}">
                  <a16:creationId xmlns:a16="http://schemas.microsoft.com/office/drawing/2014/main" id="{2F82D396-C10C-4A4E-8C6A-1AC1C080E3EF}"/>
                </a:ext>
              </a:extLst>
            </xdr:cNvPr>
            <xdr:cNvGraphicFramePr/>
          </xdr:nvGraphicFramePr>
          <xdr:xfrm>
            <a:off x="0" y="0"/>
            <a:ext cx="0" cy="0"/>
          </xdr:xfrm>
          <a:graphic>
            <a:graphicData uri="http://schemas.microsoft.com/office/drawing/2010/slicer">
              <sle:slicer xmlns:sle="http://schemas.microsoft.com/office/drawing/2010/slicer" name="Catégorie"/>
            </a:graphicData>
          </a:graphic>
        </xdr:graphicFrame>
      </mc:Choice>
      <mc:Fallback xmlns="">
        <xdr:sp macro="" textlink="">
          <xdr:nvSpPr>
            <xdr:cNvPr id="0" name=""/>
            <xdr:cNvSpPr>
              <a:spLocks noTextEdit="1"/>
            </xdr:cNvSpPr>
          </xdr:nvSpPr>
          <xdr:spPr>
            <a:xfrm>
              <a:off x="6438900" y="1552575"/>
              <a:ext cx="1962150" cy="2838450"/>
            </a:xfrm>
            <a:prstGeom prst="rect">
              <a:avLst/>
            </a:prstGeom>
            <a:solidFill>
              <a:prstClr val="white"/>
            </a:solidFill>
            <a:ln w="1">
              <a:solidFill>
                <a:prstClr val="green"/>
              </a:solidFill>
            </a:ln>
          </xdr:spPr>
          <xdr:txBody>
            <a:bodyPr vertOverflow="clip" horzOverflow="clip"/>
            <a:lstStyle/>
            <a:p>
              <a:r>
                <a:rPr lang="fr-CM"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85725</xdr:colOff>
      <xdr:row>5</xdr:row>
      <xdr:rowOff>276225</xdr:rowOff>
    </xdr:from>
    <xdr:to>
      <xdr:col>16</xdr:col>
      <xdr:colOff>114300</xdr:colOff>
      <xdr:row>5</xdr:row>
      <xdr:rowOff>733425</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2CE2697E-BE78-ED08-A567-3C968469D8D4}"/>
            </a:ext>
          </a:extLst>
        </xdr:cNvPr>
        <xdr:cNvSpPr/>
      </xdr:nvSpPr>
      <xdr:spPr>
        <a:xfrm>
          <a:off x="8620125" y="3190875"/>
          <a:ext cx="1247775" cy="457200"/>
        </a:xfrm>
        <a:prstGeom prst="roundRect">
          <a:avLst/>
        </a:prstGeom>
        <a:solidFill>
          <a:schemeClr val="accent2">
            <a:lumMod val="20000"/>
            <a:lumOff val="8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M" sz="2000" b="1">
              <a:solidFill>
                <a:schemeClr val="tx2">
                  <a:lumMod val="75000"/>
                  <a:lumOff val="25000"/>
                </a:schemeClr>
              </a:solidFill>
              <a:latin typeface="Segeo ui"/>
            </a:rPr>
            <a:t>STOCK</a:t>
          </a:r>
        </a:p>
      </xdr:txBody>
    </xdr:sp>
    <xdr:clientData/>
  </xdr:twoCellAnchor>
  <xdr:twoCellAnchor>
    <xdr:from>
      <xdr:col>16</xdr:col>
      <xdr:colOff>409575</xdr:colOff>
      <xdr:row>5</xdr:row>
      <xdr:rowOff>266700</xdr:rowOff>
    </xdr:from>
    <xdr:to>
      <xdr:col>17</xdr:col>
      <xdr:colOff>1047750</xdr:colOff>
      <xdr:row>5</xdr:row>
      <xdr:rowOff>723900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A2F6A57B-BFD7-63BF-4F8A-D6951931FAD0}"/>
            </a:ext>
          </a:extLst>
        </xdr:cNvPr>
        <xdr:cNvSpPr/>
      </xdr:nvSpPr>
      <xdr:spPr>
        <a:xfrm>
          <a:off x="10163175" y="3181350"/>
          <a:ext cx="1247775" cy="457200"/>
        </a:xfrm>
        <a:prstGeom prst="roundRect">
          <a:avLst/>
        </a:prstGeom>
        <a:solidFill>
          <a:schemeClr val="accent2">
            <a:lumMod val="20000"/>
            <a:lumOff val="8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M" sz="1200" b="1">
              <a:solidFill>
                <a:schemeClr val="tx2">
                  <a:lumMod val="75000"/>
                  <a:lumOff val="25000"/>
                </a:schemeClr>
              </a:solidFill>
              <a:latin typeface="Segeo ui"/>
            </a:rPr>
            <a:t>MOUVEMENT</a:t>
          </a:r>
        </a:p>
      </xdr:txBody>
    </xdr:sp>
    <xdr:clientData/>
  </xdr:twoCellAnchor>
  <xdr:twoCellAnchor>
    <xdr:from>
      <xdr:col>14</xdr:col>
      <xdr:colOff>95250</xdr:colOff>
      <xdr:row>6</xdr:row>
      <xdr:rowOff>190500</xdr:rowOff>
    </xdr:from>
    <xdr:to>
      <xdr:col>16</xdr:col>
      <xdr:colOff>123825</xdr:colOff>
      <xdr:row>6</xdr:row>
      <xdr:rowOff>647700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7A98AE4B-2CCB-580C-08C4-65D3548E6297}"/>
            </a:ext>
          </a:extLst>
        </xdr:cNvPr>
        <xdr:cNvSpPr/>
      </xdr:nvSpPr>
      <xdr:spPr>
        <a:xfrm>
          <a:off x="8629650" y="3848100"/>
          <a:ext cx="1247775" cy="457200"/>
        </a:xfrm>
        <a:prstGeom prst="roundRect">
          <a:avLst/>
        </a:prstGeom>
        <a:solidFill>
          <a:schemeClr val="accent2">
            <a:lumMod val="40000"/>
            <a:lumOff val="6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M" sz="1400" b="1">
              <a:solidFill>
                <a:schemeClr val="tx2">
                  <a:lumMod val="75000"/>
                  <a:lumOff val="25000"/>
                </a:schemeClr>
              </a:solidFill>
              <a:latin typeface="Segeo ui"/>
            </a:rPr>
            <a:t>DASHBOARD</a:t>
          </a:r>
        </a:p>
      </xdr:txBody>
    </xdr:sp>
    <xdr:clientData/>
  </xdr:twoCellAnchor>
  <xdr:twoCellAnchor>
    <xdr:from>
      <xdr:col>16</xdr:col>
      <xdr:colOff>419100</xdr:colOff>
      <xdr:row>6</xdr:row>
      <xdr:rowOff>180975</xdr:rowOff>
    </xdr:from>
    <xdr:to>
      <xdr:col>17</xdr:col>
      <xdr:colOff>1057275</xdr:colOff>
      <xdr:row>6</xdr:row>
      <xdr:rowOff>638175</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27E3DDCE-67EC-4DA0-76F1-92591FE91E8D}"/>
            </a:ext>
          </a:extLst>
        </xdr:cNvPr>
        <xdr:cNvSpPr/>
      </xdr:nvSpPr>
      <xdr:spPr>
        <a:xfrm>
          <a:off x="10172700" y="3838575"/>
          <a:ext cx="1247775" cy="457200"/>
        </a:xfrm>
        <a:prstGeom prst="roundRect">
          <a:avLst/>
        </a:prstGeom>
        <a:solidFill>
          <a:schemeClr val="accent2">
            <a:lumMod val="20000"/>
            <a:lumOff val="8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M" sz="1800" b="1">
              <a:solidFill>
                <a:schemeClr val="tx2">
                  <a:lumMod val="75000"/>
                  <a:lumOff val="25000"/>
                </a:schemeClr>
              </a:solidFill>
              <a:latin typeface="Segeo ui"/>
            </a:rPr>
            <a:t>FINANCE</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égorie" xr10:uid="{CB592523-4E46-41B7-9B05-B5C29187BC2D}" sourceName="Catégorie">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égorie" xr10:uid="{08C4E186-F63D-4C32-A8ED-AF27E89A9AF5}" cache="Slicer_Catégorie" caption="Catégorie" startItem="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B10C5F-68DB-400A-9080-D67A695FD76C}" name="Tableaureference" displayName="Tableaureference" ref="A1:I101" totalsRowShown="0" headerRowDxfId="28" headerRowBorderDxfId="27" tableBorderDxfId="26">
  <autoFilter ref="A1:I101" xr:uid="{13B10C5F-68DB-400A-9080-D67A695FD76C}"/>
  <tableColumns count="9">
    <tableColumn id="1" xr3:uid="{A929D223-7AD3-495F-A293-DBBBF8B28727}" name="Code" dataDxfId="25"/>
    <tableColumn id="2" xr3:uid="{C683F259-32AD-4171-932D-584A84708996}" name="Designation" dataDxfId="24"/>
    <tableColumn id="3" xr3:uid="{38AAF146-673A-471B-9DF4-A0B17D746FAE}" name="Catégorie" dataDxfId="23"/>
    <tableColumn id="4" xr3:uid="{6BDCA25D-BE0D-4342-82C8-324873F6BC9C}" name="Stock Initial" dataDxfId="22"/>
    <tableColumn id="5" xr3:uid="{7FB07BC1-4591-4984-924B-351B7A5AE888}" name="Entrées" dataDxfId="21">
      <calculatedColumnFormula>IFERROR(SUMIFS(Tableaumouvement[Quantité],Tableaumouvement[Designation],Tableaureference[[#This Row],[Designation]],Tableaumouvement[Mouvement],"Entrée"),0)</calculatedColumnFormula>
    </tableColumn>
    <tableColumn id="6" xr3:uid="{0121EF25-25FB-426F-A7AD-6825EAFCE190}" name="Sorties" dataDxfId="20">
      <calculatedColumnFormula>IFERROR(SUMIFS(Tableaumouvement[Quantité],Tableaumouvement[Designation],Tableaureference[[#This Row],[Designation]],Tableaumouvement[Mouvement],"Sortie"),0)</calculatedColumnFormula>
    </tableColumn>
    <tableColumn id="7" xr3:uid="{DF9A8F48-0D6B-4FB7-B67D-5FCE69DE0707}" name="Stock Actuel" dataDxfId="19">
      <calculatedColumnFormula>D2+E2-F2</calculatedColumnFormula>
    </tableColumn>
    <tableColumn id="8" xr3:uid="{162BCAEA-C429-4998-982A-A18714E7D9BA}" name="Seuil de Sécurité" dataDxfId="18"/>
    <tableColumn id="9" xr3:uid="{D87D5F85-1A59-4848-A3D3-4B05A8C7DD5A}" name="Statut" dataDxfId="17">
      <calculatedColumnFormula>IF(G2&lt;H2,"Reapprovisionnement","OK")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85641F-F825-4240-BFFE-3645B599C4DF}" name="Tableaumouvement" displayName="Tableaumouvement" ref="A1:E148" totalsRowShown="0" headerRowDxfId="16" headerRowBorderDxfId="15" tableBorderDxfId="14">
  <autoFilter ref="A1:E148" xr:uid="{ED85641F-F825-4240-BFFE-3645B599C4DF}"/>
  <tableColumns count="5">
    <tableColumn id="1" xr3:uid="{F11E6E0C-D553-401A-8929-9DD2F82B7A2F}" name="Code" dataDxfId="13"/>
    <tableColumn id="2" xr3:uid="{3DA77101-9F05-41CA-97FB-BEA72AA4A3CC}" name="Designation" dataDxfId="12">
      <calculatedColumnFormula>IFERROR(VLOOKUP(Tableaumouvement[[#This Row],[Code]],Tableaureference[],2,FALSE),"")</calculatedColumnFormula>
    </tableColumn>
    <tableColumn id="3" xr3:uid="{8B66D93F-FA50-4143-8E9E-5C53A4AF6A93}" name="Categorie" dataDxfId="11">
      <calculatedColumnFormula>IFERROR(VLOOKUP(Tableaumouvement[[#This Row],[Code]],Tableaureference[],3,FALSE),"")</calculatedColumnFormula>
    </tableColumn>
    <tableColumn id="4" xr3:uid="{C4A66571-9FDB-40D8-9E2D-7E5480DFAA93}" name="Mouvement" dataDxfId="10"/>
    <tableColumn id="5" xr3:uid="{31EA289F-3708-4A66-8337-1BCA37339540}" name="Quantité"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881162-5B17-4CFB-BA9C-7ED21F908473}" name="Table4" displayName="Table4" ref="J5:O65" totalsRowShown="0">
  <autoFilter ref="J5:O65" xr:uid="{EC881162-5B17-4CFB-BA9C-7ED21F908473}"/>
  <tableColumns count="6">
    <tableColumn id="1" xr3:uid="{8BD26351-3358-4159-BAE3-9198D0A754B8}" name="mois"/>
    <tableColumn id="2" xr3:uid="{6D8DDDFC-FD49-48CE-A246-F58AB25D6723}" name="solde debut"/>
    <tableColumn id="3" xr3:uid="{FC108EE4-F534-4614-B9DE-54DA0C33307D}" name="Mensualite"/>
    <tableColumn id="4" xr3:uid="{068BFC56-7F94-46E8-A150-252FDEFAD73E}" name="Interet"/>
    <tableColumn id="5" xr3:uid="{3FF31713-B9E4-4657-8C5C-B7D1576F050F}" name="Principal"/>
    <tableColumn id="6" xr3:uid="{9DCE381A-5965-44DC-B947-4D11E88990AD}" name="Solde F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1245-6283-4A84-8A88-9DCA0680ED92}">
  <dimension ref="A1:I101"/>
  <sheetViews>
    <sheetView tabSelected="1" workbookViewId="0">
      <pane ySplit="1" topLeftCell="A2" activePane="bottomLeft" state="frozen"/>
      <selection pane="bottomLeft" activeCell="J14" sqref="J14"/>
    </sheetView>
  </sheetViews>
  <sheetFormatPr defaultRowHeight="16.5"/>
  <cols>
    <col min="1" max="1" width="20.7109375" style="7" customWidth="1"/>
    <col min="2" max="4" width="20.7109375" style="3" customWidth="1"/>
    <col min="5" max="6" width="20.7109375" style="6" customWidth="1"/>
    <col min="7" max="8" width="20.7109375" style="3" customWidth="1"/>
    <col min="9" max="9" width="26.140625" style="8" customWidth="1"/>
    <col min="10" max="10" width="20.7109375" style="3" customWidth="1"/>
    <col min="11" max="16384" width="9.140625" style="3"/>
  </cols>
  <sheetData>
    <row r="1" spans="1:9" s="20" customFormat="1" ht="21.75" customHeight="1" thickBot="1">
      <c r="A1" s="17" t="s">
        <v>0</v>
      </c>
      <c r="B1" s="18" t="s">
        <v>1</v>
      </c>
      <c r="C1" s="18" t="s">
        <v>2</v>
      </c>
      <c r="D1" s="18" t="s">
        <v>3</v>
      </c>
      <c r="E1" s="18" t="s">
        <v>4</v>
      </c>
      <c r="F1" s="18" t="s">
        <v>5</v>
      </c>
      <c r="G1" s="18" t="s">
        <v>6</v>
      </c>
      <c r="H1" s="18" t="s">
        <v>7</v>
      </c>
      <c r="I1" s="19" t="s">
        <v>8</v>
      </c>
    </row>
    <row r="2" spans="1:9" ht="16.5" customHeight="1">
      <c r="A2" s="13" t="s">
        <v>9</v>
      </c>
      <c r="B2" s="4" t="s">
        <v>109</v>
      </c>
      <c r="C2" s="4" t="s">
        <v>209</v>
      </c>
      <c r="D2" s="4">
        <v>10</v>
      </c>
      <c r="E2" s="16">
        <f>IFERROR(SUMIFS(Tableaumouvement[Quantité],Tableaumouvement[Designation],Tableaureference[[#This Row],[Designation]],Tableaumouvement[Mouvement],"Entrée"),0)</f>
        <v>40</v>
      </c>
      <c r="F2" s="16">
        <f>IFERROR(SUMIFS(Tableaumouvement[Quantité],Tableaumouvement[Designation],Tableaureference[[#This Row],[Designation]],Tableaumouvement[Mouvement],"Sortie"),0)</f>
        <v>0</v>
      </c>
      <c r="G2" s="4">
        <f>D2+E2-F2</f>
        <v>50</v>
      </c>
      <c r="H2" s="4">
        <v>15</v>
      </c>
      <c r="I2" s="15" t="str">
        <f>IF(G2&lt;H2,"Reapprovisionnement","OK")</f>
        <v>OK</v>
      </c>
    </row>
    <row r="3" spans="1:9">
      <c r="A3" s="14" t="s">
        <v>10</v>
      </c>
      <c r="B3" s="5" t="s">
        <v>110</v>
      </c>
      <c r="C3" s="5" t="s">
        <v>210</v>
      </c>
      <c r="D3" s="4">
        <v>10</v>
      </c>
      <c r="E3" s="16">
        <f>IFERROR(SUMIFS(Tableaumouvement[Quantité],Tableaumouvement[Designation],Tableaureference[[#This Row],[Designation]],Tableaumouvement[Mouvement],"Entrée"),0)</f>
        <v>20</v>
      </c>
      <c r="F3" s="16">
        <f>IFERROR(SUMIFS(Tableaumouvement[Quantité],Tableaumouvement[Designation],Tableaureference[[#This Row],[Designation]],Tableaumouvement[Mouvement],"Sortie"),0)</f>
        <v>0</v>
      </c>
      <c r="G3" s="4">
        <f t="shared" ref="G3:G66" si="0">D3+E3-F3</f>
        <v>30</v>
      </c>
      <c r="H3" s="4">
        <v>15</v>
      </c>
      <c r="I3" s="15" t="str">
        <f t="shared" ref="I3:I66" si="1">IF(G3&lt;H3,"Reapprovisionnement","OK")</f>
        <v>OK</v>
      </c>
    </row>
    <row r="4" spans="1:9">
      <c r="A4" s="14" t="s">
        <v>11</v>
      </c>
      <c r="B4" s="5" t="s">
        <v>111</v>
      </c>
      <c r="C4" s="5" t="s">
        <v>211</v>
      </c>
      <c r="D4" s="4">
        <v>10</v>
      </c>
      <c r="E4" s="16">
        <f>IFERROR(SUMIFS(Tableaumouvement[Quantité],Tableaumouvement[Designation],Tableaureference[[#This Row],[Designation]],Tableaumouvement[Mouvement],"Entrée"),0)</f>
        <v>15</v>
      </c>
      <c r="F4" s="16">
        <f>IFERROR(SUMIFS(Tableaumouvement[Quantité],Tableaumouvement[Designation],Tableaureference[[#This Row],[Designation]],Tableaumouvement[Mouvement],"Sortie"),0)</f>
        <v>0</v>
      </c>
      <c r="G4" s="4">
        <f t="shared" si="0"/>
        <v>25</v>
      </c>
      <c r="H4" s="4">
        <v>15</v>
      </c>
      <c r="I4" s="15" t="str">
        <f t="shared" si="1"/>
        <v>OK</v>
      </c>
    </row>
    <row r="5" spans="1:9">
      <c r="A5" s="14" t="s">
        <v>12</v>
      </c>
      <c r="B5" s="5" t="s">
        <v>112</v>
      </c>
      <c r="C5" s="5" t="s">
        <v>212</v>
      </c>
      <c r="D5" s="4">
        <v>10</v>
      </c>
      <c r="E5" s="16">
        <f>IFERROR(SUMIFS(Tableaumouvement[Quantité],Tableaumouvement[Designation],Tableaureference[[#This Row],[Designation]],Tableaumouvement[Mouvement],"Entrée"),0)</f>
        <v>50</v>
      </c>
      <c r="F5" s="16">
        <f>IFERROR(SUMIFS(Tableaumouvement[Quantité],Tableaumouvement[Designation],Tableaureference[[#This Row],[Designation]],Tableaumouvement[Mouvement],"Sortie"),0)</f>
        <v>0</v>
      </c>
      <c r="G5" s="4">
        <f t="shared" si="0"/>
        <v>60</v>
      </c>
      <c r="H5" s="4">
        <v>15</v>
      </c>
      <c r="I5" s="15" t="str">
        <f t="shared" si="1"/>
        <v>OK</v>
      </c>
    </row>
    <row r="6" spans="1:9">
      <c r="A6" s="14" t="s">
        <v>13</v>
      </c>
      <c r="B6" s="5" t="s">
        <v>113</v>
      </c>
      <c r="C6" s="5" t="s">
        <v>213</v>
      </c>
      <c r="D6" s="4">
        <v>10</v>
      </c>
      <c r="E6" s="16">
        <f>IFERROR(SUMIFS(Tableaumouvement[Quantité],Tableaumouvement[Designation],Tableaureference[[#This Row],[Designation]],Tableaumouvement[Mouvement],"Entrée"),0)</f>
        <v>21</v>
      </c>
      <c r="F6" s="16">
        <f>IFERROR(SUMIFS(Tableaumouvement[Quantité],Tableaumouvement[Designation],Tableaureference[[#This Row],[Designation]],Tableaumouvement[Mouvement],"Sortie"),0)</f>
        <v>0</v>
      </c>
      <c r="G6" s="4">
        <f t="shared" si="0"/>
        <v>31</v>
      </c>
      <c r="H6" s="4">
        <v>15</v>
      </c>
      <c r="I6" s="15" t="str">
        <f t="shared" si="1"/>
        <v>OK</v>
      </c>
    </row>
    <row r="7" spans="1:9">
      <c r="A7" s="14" t="s">
        <v>14</v>
      </c>
      <c r="B7" s="5" t="s">
        <v>114</v>
      </c>
      <c r="C7" s="5" t="s">
        <v>214</v>
      </c>
      <c r="D7" s="4">
        <v>10</v>
      </c>
      <c r="E7" s="16">
        <f>IFERROR(SUMIFS(Tableaumouvement[Quantité],Tableaumouvement[Designation],Tableaureference[[#This Row],[Designation]],Tableaumouvement[Mouvement],"Entrée"),0)</f>
        <v>37</v>
      </c>
      <c r="F7" s="16">
        <f>IFERROR(SUMIFS(Tableaumouvement[Quantité],Tableaumouvement[Designation],Tableaureference[[#This Row],[Designation]],Tableaumouvement[Mouvement],"Sortie"),0)</f>
        <v>0</v>
      </c>
      <c r="G7" s="4">
        <f t="shared" si="0"/>
        <v>47</v>
      </c>
      <c r="H7" s="4">
        <v>15</v>
      </c>
      <c r="I7" s="15" t="str">
        <f t="shared" si="1"/>
        <v>OK</v>
      </c>
    </row>
    <row r="8" spans="1:9">
      <c r="A8" s="14" t="s">
        <v>15</v>
      </c>
      <c r="B8" s="5" t="s">
        <v>115</v>
      </c>
      <c r="C8" s="5" t="s">
        <v>215</v>
      </c>
      <c r="D8" s="4">
        <v>10</v>
      </c>
      <c r="E8" s="16">
        <f>IFERROR(SUMIFS(Tableaumouvement[Quantité],Tableaumouvement[Designation],Tableaureference[[#This Row],[Designation]],Tableaumouvement[Mouvement],"Entrée"),0)</f>
        <v>32</v>
      </c>
      <c r="F8" s="16">
        <f>IFERROR(SUMIFS(Tableaumouvement[Quantité],Tableaumouvement[Designation],Tableaureference[[#This Row],[Designation]],Tableaumouvement[Mouvement],"Sortie"),0)</f>
        <v>0</v>
      </c>
      <c r="G8" s="4">
        <f t="shared" si="0"/>
        <v>42</v>
      </c>
      <c r="H8" s="4">
        <v>15</v>
      </c>
      <c r="I8" s="15" t="str">
        <f t="shared" si="1"/>
        <v>OK</v>
      </c>
    </row>
    <row r="9" spans="1:9">
      <c r="A9" s="14" t="s">
        <v>16</v>
      </c>
      <c r="B9" s="5" t="s">
        <v>116</v>
      </c>
      <c r="C9" s="5" t="s">
        <v>216</v>
      </c>
      <c r="D9" s="4">
        <v>10</v>
      </c>
      <c r="E9" s="16">
        <f>IFERROR(SUMIFS(Tableaumouvement[Quantité],Tableaumouvement[Designation],Tableaureference[[#This Row],[Designation]],Tableaumouvement[Mouvement],"Entrée"),0)</f>
        <v>40</v>
      </c>
      <c r="F9" s="16">
        <f>IFERROR(SUMIFS(Tableaumouvement[Quantité],Tableaumouvement[Designation],Tableaureference[[#This Row],[Designation]],Tableaumouvement[Mouvement],"Sortie"),0)</f>
        <v>0</v>
      </c>
      <c r="G9" s="4">
        <f t="shared" si="0"/>
        <v>50</v>
      </c>
      <c r="H9" s="4">
        <v>15</v>
      </c>
      <c r="I9" s="15" t="str">
        <f t="shared" si="1"/>
        <v>OK</v>
      </c>
    </row>
    <row r="10" spans="1:9">
      <c r="A10" s="14" t="s">
        <v>17</v>
      </c>
      <c r="B10" s="5" t="s">
        <v>117</v>
      </c>
      <c r="C10" s="5" t="s">
        <v>217</v>
      </c>
      <c r="D10" s="4">
        <v>10</v>
      </c>
      <c r="E10" s="16">
        <f>IFERROR(SUMIFS(Tableaumouvement[Quantité],Tableaumouvement[Designation],Tableaureference[[#This Row],[Designation]],Tableaumouvement[Mouvement],"Entrée"),0)</f>
        <v>19</v>
      </c>
      <c r="F10" s="16">
        <f>IFERROR(SUMIFS(Tableaumouvement[Quantité],Tableaumouvement[Designation],Tableaureference[[#This Row],[Designation]],Tableaumouvement[Mouvement],"Sortie"),0)</f>
        <v>0</v>
      </c>
      <c r="G10" s="4">
        <f t="shared" si="0"/>
        <v>29</v>
      </c>
      <c r="H10" s="4">
        <v>15</v>
      </c>
      <c r="I10" s="15" t="str">
        <f t="shared" si="1"/>
        <v>OK</v>
      </c>
    </row>
    <row r="11" spans="1:9">
      <c r="A11" s="14" t="s">
        <v>18</v>
      </c>
      <c r="B11" s="5" t="s">
        <v>118</v>
      </c>
      <c r="C11" s="5" t="s">
        <v>218</v>
      </c>
      <c r="D11" s="4">
        <v>10</v>
      </c>
      <c r="E11" s="16">
        <f>IFERROR(SUMIFS(Tableaumouvement[Quantité],Tableaumouvement[Designation],Tableaureference[[#This Row],[Designation]],Tableaumouvement[Mouvement],"Entrée"),0)</f>
        <v>27</v>
      </c>
      <c r="F11" s="16">
        <f>IFERROR(SUMIFS(Tableaumouvement[Quantité],Tableaumouvement[Designation],Tableaureference[[#This Row],[Designation]],Tableaumouvement[Mouvement],"Sortie"),0)</f>
        <v>0</v>
      </c>
      <c r="G11" s="4">
        <f t="shared" si="0"/>
        <v>37</v>
      </c>
      <c r="H11" s="4">
        <v>15</v>
      </c>
      <c r="I11" s="15" t="str">
        <f t="shared" si="1"/>
        <v>OK</v>
      </c>
    </row>
    <row r="12" spans="1:9">
      <c r="A12" s="14" t="s">
        <v>19</v>
      </c>
      <c r="B12" s="5" t="s">
        <v>119</v>
      </c>
      <c r="C12" s="5" t="s">
        <v>209</v>
      </c>
      <c r="D12" s="4">
        <v>10</v>
      </c>
      <c r="E12" s="16">
        <f>IFERROR(SUMIFS(Tableaumouvement[Quantité],Tableaumouvement[Designation],Tableaureference[[#This Row],[Designation]],Tableaumouvement[Mouvement],"Entrée"),0)</f>
        <v>45</v>
      </c>
      <c r="F12" s="16">
        <f>IFERROR(SUMIFS(Tableaumouvement[Quantité],Tableaumouvement[Designation],Tableaureference[[#This Row],[Designation]],Tableaumouvement[Mouvement],"Sortie"),0)</f>
        <v>15</v>
      </c>
      <c r="G12" s="4">
        <f t="shared" si="0"/>
        <v>40</v>
      </c>
      <c r="H12" s="4">
        <v>15</v>
      </c>
      <c r="I12" s="15" t="str">
        <f t="shared" si="1"/>
        <v>OK</v>
      </c>
    </row>
    <row r="13" spans="1:9">
      <c r="A13" s="14" t="s">
        <v>20</v>
      </c>
      <c r="B13" s="5" t="s">
        <v>120</v>
      </c>
      <c r="C13" s="5" t="s">
        <v>210</v>
      </c>
      <c r="D13" s="4">
        <v>10</v>
      </c>
      <c r="E13" s="16">
        <f>IFERROR(SUMIFS(Tableaumouvement[Quantité],Tableaumouvement[Designation],Tableaureference[[#This Row],[Designation]],Tableaumouvement[Mouvement],"Entrée"),0)</f>
        <v>15</v>
      </c>
      <c r="F13" s="16">
        <f>IFERROR(SUMIFS(Tableaumouvement[Quantité],Tableaumouvement[Designation],Tableaureference[[#This Row],[Designation]],Tableaumouvement[Mouvement],"Sortie"),0)</f>
        <v>0</v>
      </c>
      <c r="G13" s="4">
        <f t="shared" si="0"/>
        <v>25</v>
      </c>
      <c r="H13" s="4">
        <v>15</v>
      </c>
      <c r="I13" s="15" t="str">
        <f t="shared" si="1"/>
        <v>OK</v>
      </c>
    </row>
    <row r="14" spans="1:9">
      <c r="A14" s="14" t="s">
        <v>21</v>
      </c>
      <c r="B14" s="5" t="s">
        <v>121</v>
      </c>
      <c r="C14" s="5" t="s">
        <v>211</v>
      </c>
      <c r="D14" s="4">
        <v>10</v>
      </c>
      <c r="E14" s="16">
        <f>IFERROR(SUMIFS(Tableaumouvement[Quantité],Tableaumouvement[Designation],Tableaureference[[#This Row],[Designation]],Tableaumouvement[Mouvement],"Entrée"),0)</f>
        <v>34</v>
      </c>
      <c r="F14" s="16">
        <f>IFERROR(SUMIFS(Tableaumouvement[Quantité],Tableaumouvement[Designation],Tableaureference[[#This Row],[Designation]],Tableaumouvement[Mouvement],"Sortie"),0)</f>
        <v>0</v>
      </c>
      <c r="G14" s="4">
        <f t="shared" si="0"/>
        <v>44</v>
      </c>
      <c r="H14" s="4">
        <v>15</v>
      </c>
      <c r="I14" s="15" t="str">
        <f t="shared" si="1"/>
        <v>OK</v>
      </c>
    </row>
    <row r="15" spans="1:9">
      <c r="A15" s="14" t="s">
        <v>22</v>
      </c>
      <c r="B15" s="5" t="s">
        <v>122</v>
      </c>
      <c r="C15" s="5" t="s">
        <v>212</v>
      </c>
      <c r="D15" s="4">
        <v>10</v>
      </c>
      <c r="E15" s="16">
        <f>IFERROR(SUMIFS(Tableaumouvement[Quantité],Tableaumouvement[Designation],Tableaureference[[#This Row],[Designation]],Tableaumouvement[Mouvement],"Entrée"),0)</f>
        <v>17</v>
      </c>
      <c r="F15" s="16">
        <f>IFERROR(SUMIFS(Tableaumouvement[Quantité],Tableaumouvement[Designation],Tableaureference[[#This Row],[Designation]],Tableaumouvement[Mouvement],"Sortie"),0)</f>
        <v>0</v>
      </c>
      <c r="G15" s="4">
        <f t="shared" si="0"/>
        <v>27</v>
      </c>
      <c r="H15" s="4">
        <v>15</v>
      </c>
      <c r="I15" s="15" t="str">
        <f t="shared" si="1"/>
        <v>OK</v>
      </c>
    </row>
    <row r="16" spans="1:9">
      <c r="A16" s="14" t="s">
        <v>23</v>
      </c>
      <c r="B16" s="5" t="s">
        <v>123</v>
      </c>
      <c r="C16" s="5" t="s">
        <v>213</v>
      </c>
      <c r="D16" s="4">
        <v>10</v>
      </c>
      <c r="E16" s="16">
        <f>IFERROR(SUMIFS(Tableaumouvement[Quantité],Tableaumouvement[Designation],Tableaureference[[#This Row],[Designation]],Tableaumouvement[Mouvement],"Entrée"),0)</f>
        <v>19</v>
      </c>
      <c r="F16" s="16">
        <f>IFERROR(SUMIFS(Tableaumouvement[Quantité],Tableaumouvement[Designation],Tableaureference[[#This Row],[Designation]],Tableaumouvement[Mouvement],"Sortie"),0)</f>
        <v>0</v>
      </c>
      <c r="G16" s="4">
        <f t="shared" si="0"/>
        <v>29</v>
      </c>
      <c r="H16" s="4">
        <v>15</v>
      </c>
      <c r="I16" s="15" t="str">
        <f t="shared" si="1"/>
        <v>OK</v>
      </c>
    </row>
    <row r="17" spans="1:9">
      <c r="A17" s="14" t="s">
        <v>24</v>
      </c>
      <c r="B17" s="5" t="s">
        <v>124</v>
      </c>
      <c r="C17" s="5" t="s">
        <v>214</v>
      </c>
      <c r="D17" s="4">
        <v>10</v>
      </c>
      <c r="E17" s="16">
        <f>IFERROR(SUMIFS(Tableaumouvement[Quantité],Tableaumouvement[Designation],Tableaureference[[#This Row],[Designation]],Tableaumouvement[Mouvement],"Entrée"),0)</f>
        <v>10</v>
      </c>
      <c r="F17" s="16">
        <f>IFERROR(SUMIFS(Tableaumouvement[Quantité],Tableaumouvement[Designation],Tableaureference[[#This Row],[Designation]],Tableaumouvement[Mouvement],"Sortie"),0)</f>
        <v>0</v>
      </c>
      <c r="G17" s="4">
        <f t="shared" si="0"/>
        <v>20</v>
      </c>
      <c r="H17" s="4">
        <v>15</v>
      </c>
      <c r="I17" s="15" t="str">
        <f t="shared" si="1"/>
        <v>OK</v>
      </c>
    </row>
    <row r="18" spans="1:9">
      <c r="A18" s="14" t="s">
        <v>25</v>
      </c>
      <c r="B18" s="5" t="s">
        <v>125</v>
      </c>
      <c r="C18" s="5" t="s">
        <v>215</v>
      </c>
      <c r="D18" s="4">
        <v>10</v>
      </c>
      <c r="E18" s="16">
        <f>IFERROR(SUMIFS(Tableaumouvement[Quantité],Tableaumouvement[Designation],Tableaureference[[#This Row],[Designation]],Tableaumouvement[Mouvement],"Entrée"),0)</f>
        <v>30</v>
      </c>
      <c r="F18" s="16">
        <f>IFERROR(SUMIFS(Tableaumouvement[Quantité],Tableaumouvement[Designation],Tableaureference[[#This Row],[Designation]],Tableaumouvement[Mouvement],"Sortie"),0)</f>
        <v>0</v>
      </c>
      <c r="G18" s="4">
        <f t="shared" si="0"/>
        <v>40</v>
      </c>
      <c r="H18" s="4">
        <v>15</v>
      </c>
      <c r="I18" s="15" t="str">
        <f t="shared" si="1"/>
        <v>OK</v>
      </c>
    </row>
    <row r="19" spans="1:9">
      <c r="A19" s="14" t="s">
        <v>26</v>
      </c>
      <c r="B19" s="5" t="s">
        <v>126</v>
      </c>
      <c r="C19" s="5" t="s">
        <v>216</v>
      </c>
      <c r="D19" s="4">
        <v>10</v>
      </c>
      <c r="E19" s="16">
        <f>IFERROR(SUMIFS(Tableaumouvement[Quantité],Tableaumouvement[Designation],Tableaureference[[#This Row],[Designation]],Tableaumouvement[Mouvement],"Entrée"),0)</f>
        <v>0</v>
      </c>
      <c r="F19" s="16">
        <f>IFERROR(SUMIFS(Tableaumouvement[Quantité],Tableaumouvement[Designation],Tableaureference[[#This Row],[Designation]],Tableaumouvement[Mouvement],"Sortie"),0)</f>
        <v>0</v>
      </c>
      <c r="G19" s="4">
        <f t="shared" si="0"/>
        <v>10</v>
      </c>
      <c r="H19" s="4">
        <v>15</v>
      </c>
      <c r="I19" s="15" t="str">
        <f t="shared" si="1"/>
        <v>Reapprovisionnement</v>
      </c>
    </row>
    <row r="20" spans="1:9">
      <c r="A20" s="14" t="s">
        <v>27</v>
      </c>
      <c r="B20" s="5" t="s">
        <v>127</v>
      </c>
      <c r="C20" s="5" t="s">
        <v>217</v>
      </c>
      <c r="D20" s="4">
        <v>10</v>
      </c>
      <c r="E20" s="16">
        <f>IFERROR(SUMIFS(Tableaumouvement[Quantité],Tableaumouvement[Designation],Tableaureference[[#This Row],[Designation]],Tableaumouvement[Mouvement],"Entrée"),0)</f>
        <v>47</v>
      </c>
      <c r="F20" s="16">
        <f>IFERROR(SUMIFS(Tableaumouvement[Quantité],Tableaumouvement[Designation],Tableaureference[[#This Row],[Designation]],Tableaumouvement[Mouvement],"Sortie"),0)</f>
        <v>0</v>
      </c>
      <c r="G20" s="4">
        <f t="shared" si="0"/>
        <v>57</v>
      </c>
      <c r="H20" s="4">
        <v>15</v>
      </c>
      <c r="I20" s="15" t="str">
        <f t="shared" si="1"/>
        <v>OK</v>
      </c>
    </row>
    <row r="21" spans="1:9">
      <c r="A21" s="14" t="s">
        <v>28</v>
      </c>
      <c r="B21" s="5" t="s">
        <v>128</v>
      </c>
      <c r="C21" s="5" t="s">
        <v>218</v>
      </c>
      <c r="D21" s="4">
        <v>10</v>
      </c>
      <c r="E21" s="16">
        <f>IFERROR(SUMIFS(Tableaumouvement[Quantité],Tableaumouvement[Designation],Tableaureference[[#This Row],[Designation]],Tableaumouvement[Mouvement],"Entrée"),0)</f>
        <v>0</v>
      </c>
      <c r="F21" s="16">
        <f>IFERROR(SUMIFS(Tableaumouvement[Quantité],Tableaumouvement[Designation],Tableaureference[[#This Row],[Designation]],Tableaumouvement[Mouvement],"Sortie"),0)</f>
        <v>0</v>
      </c>
      <c r="G21" s="4">
        <f t="shared" si="0"/>
        <v>10</v>
      </c>
      <c r="H21" s="4">
        <v>15</v>
      </c>
      <c r="I21" s="15" t="str">
        <f t="shared" si="1"/>
        <v>Reapprovisionnement</v>
      </c>
    </row>
    <row r="22" spans="1:9">
      <c r="A22" s="14" t="s">
        <v>29</v>
      </c>
      <c r="B22" s="5" t="s">
        <v>129</v>
      </c>
      <c r="C22" s="5" t="s">
        <v>209</v>
      </c>
      <c r="D22" s="4">
        <v>10</v>
      </c>
      <c r="E22" s="16">
        <f>IFERROR(SUMIFS(Tableaumouvement[Quantité],Tableaumouvement[Designation],Tableaureference[[#This Row],[Designation]],Tableaumouvement[Mouvement],"Entrée"),0)</f>
        <v>0</v>
      </c>
      <c r="F22" s="16">
        <f>IFERROR(SUMIFS(Tableaumouvement[Quantité],Tableaumouvement[Designation],Tableaureference[[#This Row],[Designation]],Tableaumouvement[Mouvement],"Sortie"),0)</f>
        <v>0</v>
      </c>
      <c r="G22" s="4">
        <f t="shared" si="0"/>
        <v>10</v>
      </c>
      <c r="H22" s="4">
        <v>15</v>
      </c>
      <c r="I22" s="15" t="str">
        <f t="shared" si="1"/>
        <v>Reapprovisionnement</v>
      </c>
    </row>
    <row r="23" spans="1:9">
      <c r="A23" s="14" t="s">
        <v>30</v>
      </c>
      <c r="B23" s="5" t="s">
        <v>130</v>
      </c>
      <c r="C23" s="5" t="s">
        <v>210</v>
      </c>
      <c r="D23" s="4">
        <v>10</v>
      </c>
      <c r="E23" s="16">
        <f>IFERROR(SUMIFS(Tableaumouvement[Quantité],Tableaumouvement[Designation],Tableaureference[[#This Row],[Designation]],Tableaumouvement[Mouvement],"Entrée"),0)</f>
        <v>0</v>
      </c>
      <c r="F23" s="16">
        <f>IFERROR(SUMIFS(Tableaumouvement[Quantité],Tableaumouvement[Designation],Tableaureference[[#This Row],[Designation]],Tableaumouvement[Mouvement],"Sortie"),0)</f>
        <v>0</v>
      </c>
      <c r="G23" s="4">
        <f t="shared" si="0"/>
        <v>10</v>
      </c>
      <c r="H23" s="4">
        <v>15</v>
      </c>
      <c r="I23" s="15" t="str">
        <f t="shared" si="1"/>
        <v>Reapprovisionnement</v>
      </c>
    </row>
    <row r="24" spans="1:9">
      <c r="A24" s="14" t="s">
        <v>31</v>
      </c>
      <c r="B24" s="5" t="s">
        <v>131</v>
      </c>
      <c r="C24" s="5" t="s">
        <v>211</v>
      </c>
      <c r="D24" s="4">
        <v>10</v>
      </c>
      <c r="E24" s="16">
        <f>IFERROR(SUMIFS(Tableaumouvement[Quantité],Tableaumouvement[Designation],Tableaureference[[#This Row],[Designation]],Tableaumouvement[Mouvement],"Entrée"),0)</f>
        <v>0</v>
      </c>
      <c r="F24" s="16">
        <f>IFERROR(SUMIFS(Tableaumouvement[Quantité],Tableaumouvement[Designation],Tableaureference[[#This Row],[Designation]],Tableaumouvement[Mouvement],"Sortie"),0)</f>
        <v>0</v>
      </c>
      <c r="G24" s="4">
        <f t="shared" si="0"/>
        <v>10</v>
      </c>
      <c r="H24" s="4">
        <v>15</v>
      </c>
      <c r="I24" s="15" t="str">
        <f t="shared" si="1"/>
        <v>Reapprovisionnement</v>
      </c>
    </row>
    <row r="25" spans="1:9">
      <c r="A25" s="14" t="s">
        <v>32</v>
      </c>
      <c r="B25" s="5" t="s">
        <v>132</v>
      </c>
      <c r="C25" s="5" t="s">
        <v>212</v>
      </c>
      <c r="D25" s="4">
        <v>10</v>
      </c>
      <c r="E25" s="16">
        <f>IFERROR(SUMIFS(Tableaumouvement[Quantité],Tableaumouvement[Designation],Tableaureference[[#This Row],[Designation]],Tableaumouvement[Mouvement],"Entrée"),0)</f>
        <v>0</v>
      </c>
      <c r="F25" s="16">
        <f>IFERROR(SUMIFS(Tableaumouvement[Quantité],Tableaumouvement[Designation],Tableaureference[[#This Row],[Designation]],Tableaumouvement[Mouvement],"Sortie"),0)</f>
        <v>0</v>
      </c>
      <c r="G25" s="4">
        <f t="shared" si="0"/>
        <v>10</v>
      </c>
      <c r="H25" s="4">
        <v>15</v>
      </c>
      <c r="I25" s="15" t="str">
        <f t="shared" si="1"/>
        <v>Reapprovisionnement</v>
      </c>
    </row>
    <row r="26" spans="1:9">
      <c r="A26" s="14" t="s">
        <v>33</v>
      </c>
      <c r="B26" s="5" t="s">
        <v>133</v>
      </c>
      <c r="C26" s="5" t="s">
        <v>213</v>
      </c>
      <c r="D26" s="4">
        <v>10</v>
      </c>
      <c r="E26" s="16">
        <f>IFERROR(SUMIFS(Tableaumouvement[Quantité],Tableaumouvement[Designation],Tableaureference[[#This Row],[Designation]],Tableaumouvement[Mouvement],"Entrée"),0)</f>
        <v>0</v>
      </c>
      <c r="F26" s="16">
        <f>IFERROR(SUMIFS(Tableaumouvement[Quantité],Tableaumouvement[Designation],Tableaureference[[#This Row],[Designation]],Tableaumouvement[Mouvement],"Sortie"),0)</f>
        <v>0</v>
      </c>
      <c r="G26" s="4">
        <f t="shared" si="0"/>
        <v>10</v>
      </c>
      <c r="H26" s="4">
        <v>15</v>
      </c>
      <c r="I26" s="15" t="str">
        <f t="shared" si="1"/>
        <v>Reapprovisionnement</v>
      </c>
    </row>
    <row r="27" spans="1:9">
      <c r="A27" s="14" t="s">
        <v>34</v>
      </c>
      <c r="B27" s="5" t="s">
        <v>134</v>
      </c>
      <c r="C27" s="5" t="s">
        <v>214</v>
      </c>
      <c r="D27" s="4">
        <v>10</v>
      </c>
      <c r="E27" s="16">
        <f>IFERROR(SUMIFS(Tableaumouvement[Quantité],Tableaumouvement[Designation],Tableaureference[[#This Row],[Designation]],Tableaumouvement[Mouvement],"Entrée"),0)</f>
        <v>20</v>
      </c>
      <c r="F27" s="16">
        <f>IFERROR(SUMIFS(Tableaumouvement[Quantité],Tableaumouvement[Designation],Tableaureference[[#This Row],[Designation]],Tableaumouvement[Mouvement],"Sortie"),0)</f>
        <v>0</v>
      </c>
      <c r="G27" s="4">
        <f t="shared" si="0"/>
        <v>30</v>
      </c>
      <c r="H27" s="4">
        <v>15</v>
      </c>
      <c r="I27" s="15" t="str">
        <f t="shared" si="1"/>
        <v>OK</v>
      </c>
    </row>
    <row r="28" spans="1:9">
      <c r="A28" s="14" t="s">
        <v>35</v>
      </c>
      <c r="B28" s="5" t="s">
        <v>135</v>
      </c>
      <c r="C28" s="5" t="s">
        <v>215</v>
      </c>
      <c r="D28" s="4">
        <v>10</v>
      </c>
      <c r="E28" s="16">
        <f>IFERROR(SUMIFS(Tableaumouvement[Quantité],Tableaumouvement[Designation],Tableaureference[[#This Row],[Designation]],Tableaumouvement[Mouvement],"Entrée"),0)</f>
        <v>0</v>
      </c>
      <c r="F28" s="16">
        <f>IFERROR(SUMIFS(Tableaumouvement[Quantité],Tableaumouvement[Designation],Tableaureference[[#This Row],[Designation]],Tableaumouvement[Mouvement],"Sortie"),0)</f>
        <v>0</v>
      </c>
      <c r="G28" s="4">
        <f t="shared" si="0"/>
        <v>10</v>
      </c>
      <c r="H28" s="4">
        <v>15</v>
      </c>
      <c r="I28" s="15" t="str">
        <f t="shared" si="1"/>
        <v>Reapprovisionnement</v>
      </c>
    </row>
    <row r="29" spans="1:9">
      <c r="A29" s="14" t="s">
        <v>36</v>
      </c>
      <c r="B29" s="5" t="s">
        <v>136</v>
      </c>
      <c r="C29" s="5" t="s">
        <v>216</v>
      </c>
      <c r="D29" s="4">
        <v>10</v>
      </c>
      <c r="E29" s="16">
        <f>IFERROR(SUMIFS(Tableaumouvement[Quantité],Tableaumouvement[Designation],Tableaureference[[#This Row],[Designation]],Tableaumouvement[Mouvement],"Entrée"),0)</f>
        <v>0</v>
      </c>
      <c r="F29" s="16">
        <f>IFERROR(SUMIFS(Tableaumouvement[Quantité],Tableaumouvement[Designation],Tableaureference[[#This Row],[Designation]],Tableaumouvement[Mouvement],"Sortie"),0)</f>
        <v>0</v>
      </c>
      <c r="G29" s="4">
        <f t="shared" si="0"/>
        <v>10</v>
      </c>
      <c r="H29" s="4">
        <v>15</v>
      </c>
      <c r="I29" s="15" t="str">
        <f t="shared" si="1"/>
        <v>Reapprovisionnement</v>
      </c>
    </row>
    <row r="30" spans="1:9">
      <c r="A30" s="14" t="s">
        <v>37</v>
      </c>
      <c r="B30" s="5" t="s">
        <v>137</v>
      </c>
      <c r="C30" s="5" t="s">
        <v>217</v>
      </c>
      <c r="D30" s="4">
        <v>10</v>
      </c>
      <c r="E30" s="16">
        <f>IFERROR(SUMIFS(Tableaumouvement[Quantité],Tableaumouvement[Designation],Tableaureference[[#This Row],[Designation]],Tableaumouvement[Mouvement],"Entrée"),0)</f>
        <v>0</v>
      </c>
      <c r="F30" s="16">
        <f>IFERROR(SUMIFS(Tableaumouvement[Quantité],Tableaumouvement[Designation],Tableaureference[[#This Row],[Designation]],Tableaumouvement[Mouvement],"Sortie"),0)</f>
        <v>0</v>
      </c>
      <c r="G30" s="4">
        <f t="shared" si="0"/>
        <v>10</v>
      </c>
      <c r="H30" s="4">
        <v>15</v>
      </c>
      <c r="I30" s="15" t="str">
        <f t="shared" si="1"/>
        <v>Reapprovisionnement</v>
      </c>
    </row>
    <row r="31" spans="1:9">
      <c r="A31" s="14" t="s">
        <v>38</v>
      </c>
      <c r="B31" s="5" t="s">
        <v>138</v>
      </c>
      <c r="C31" s="5" t="s">
        <v>218</v>
      </c>
      <c r="D31" s="4">
        <v>10</v>
      </c>
      <c r="E31" s="16">
        <f>IFERROR(SUMIFS(Tableaumouvement[Quantité],Tableaumouvement[Designation],Tableaureference[[#This Row],[Designation]],Tableaumouvement[Mouvement],"Entrée"),0)</f>
        <v>0</v>
      </c>
      <c r="F31" s="16">
        <f>IFERROR(SUMIFS(Tableaumouvement[Quantité],Tableaumouvement[Designation],Tableaureference[[#This Row],[Designation]],Tableaumouvement[Mouvement],"Sortie"),0)</f>
        <v>0</v>
      </c>
      <c r="G31" s="4">
        <f t="shared" si="0"/>
        <v>10</v>
      </c>
      <c r="H31" s="4">
        <v>15</v>
      </c>
      <c r="I31" s="15" t="str">
        <f t="shared" si="1"/>
        <v>Reapprovisionnement</v>
      </c>
    </row>
    <row r="32" spans="1:9">
      <c r="A32" s="14" t="s">
        <v>39</v>
      </c>
      <c r="B32" s="5" t="s">
        <v>139</v>
      </c>
      <c r="C32" s="5" t="s">
        <v>209</v>
      </c>
      <c r="D32" s="4">
        <v>10</v>
      </c>
      <c r="E32" s="16">
        <f>IFERROR(SUMIFS(Tableaumouvement[Quantité],Tableaumouvement[Designation],Tableaureference[[#This Row],[Designation]],Tableaumouvement[Mouvement],"Entrée"),0)</f>
        <v>0</v>
      </c>
      <c r="F32" s="16">
        <f>IFERROR(SUMIFS(Tableaumouvement[Quantité],Tableaumouvement[Designation],Tableaureference[[#This Row],[Designation]],Tableaumouvement[Mouvement],"Sortie"),0)</f>
        <v>0</v>
      </c>
      <c r="G32" s="4">
        <f t="shared" si="0"/>
        <v>10</v>
      </c>
      <c r="H32" s="4">
        <v>15</v>
      </c>
      <c r="I32" s="15" t="str">
        <f t="shared" si="1"/>
        <v>Reapprovisionnement</v>
      </c>
    </row>
    <row r="33" spans="1:9">
      <c r="A33" s="14" t="s">
        <v>40</v>
      </c>
      <c r="B33" s="5" t="s">
        <v>140</v>
      </c>
      <c r="C33" s="5" t="s">
        <v>210</v>
      </c>
      <c r="D33" s="4">
        <v>10</v>
      </c>
      <c r="E33" s="16">
        <f>IFERROR(SUMIFS(Tableaumouvement[Quantité],Tableaumouvement[Designation],Tableaureference[[#This Row],[Designation]],Tableaumouvement[Mouvement],"Entrée"),0)</f>
        <v>0</v>
      </c>
      <c r="F33" s="16">
        <f>IFERROR(SUMIFS(Tableaumouvement[Quantité],Tableaumouvement[Designation],Tableaureference[[#This Row],[Designation]],Tableaumouvement[Mouvement],"Sortie"),0)</f>
        <v>0</v>
      </c>
      <c r="G33" s="4">
        <f t="shared" si="0"/>
        <v>10</v>
      </c>
      <c r="H33" s="4">
        <v>15</v>
      </c>
      <c r="I33" s="15" t="str">
        <f t="shared" si="1"/>
        <v>Reapprovisionnement</v>
      </c>
    </row>
    <row r="34" spans="1:9">
      <c r="A34" s="14" t="s">
        <v>41</v>
      </c>
      <c r="B34" s="5" t="s">
        <v>141</v>
      </c>
      <c r="C34" s="5" t="s">
        <v>211</v>
      </c>
      <c r="D34" s="4">
        <v>10</v>
      </c>
      <c r="E34" s="16">
        <f>IFERROR(SUMIFS(Tableaumouvement[Quantité],Tableaumouvement[Designation],Tableaureference[[#This Row],[Designation]],Tableaumouvement[Mouvement],"Entrée"),0)</f>
        <v>0</v>
      </c>
      <c r="F34" s="16">
        <f>IFERROR(SUMIFS(Tableaumouvement[Quantité],Tableaumouvement[Designation],Tableaureference[[#This Row],[Designation]],Tableaumouvement[Mouvement],"Sortie"),0)</f>
        <v>0</v>
      </c>
      <c r="G34" s="4">
        <f t="shared" si="0"/>
        <v>10</v>
      </c>
      <c r="H34" s="4">
        <v>15</v>
      </c>
      <c r="I34" s="15" t="str">
        <f t="shared" si="1"/>
        <v>Reapprovisionnement</v>
      </c>
    </row>
    <row r="35" spans="1:9">
      <c r="A35" s="14" t="s">
        <v>42</v>
      </c>
      <c r="B35" s="5" t="s">
        <v>142</v>
      </c>
      <c r="C35" s="5" t="s">
        <v>212</v>
      </c>
      <c r="D35" s="4">
        <v>10</v>
      </c>
      <c r="E35" s="16">
        <f>IFERROR(SUMIFS(Tableaumouvement[Quantité],Tableaumouvement[Designation],Tableaureference[[#This Row],[Designation]],Tableaumouvement[Mouvement],"Entrée"),0)</f>
        <v>0</v>
      </c>
      <c r="F35" s="16">
        <f>IFERROR(SUMIFS(Tableaumouvement[Quantité],Tableaumouvement[Designation],Tableaureference[[#This Row],[Designation]],Tableaumouvement[Mouvement],"Sortie"),0)</f>
        <v>0</v>
      </c>
      <c r="G35" s="4">
        <f t="shared" si="0"/>
        <v>10</v>
      </c>
      <c r="H35" s="4">
        <v>15</v>
      </c>
      <c r="I35" s="15" t="str">
        <f t="shared" si="1"/>
        <v>Reapprovisionnement</v>
      </c>
    </row>
    <row r="36" spans="1:9">
      <c r="A36" s="14" t="s">
        <v>43</v>
      </c>
      <c r="B36" s="5" t="s">
        <v>143</v>
      </c>
      <c r="C36" s="5" t="s">
        <v>213</v>
      </c>
      <c r="D36" s="4">
        <v>10</v>
      </c>
      <c r="E36" s="16">
        <f>IFERROR(SUMIFS(Tableaumouvement[Quantité],Tableaumouvement[Designation],Tableaureference[[#This Row],[Designation]],Tableaumouvement[Mouvement],"Entrée"),0)</f>
        <v>0</v>
      </c>
      <c r="F36" s="16">
        <f>IFERROR(SUMIFS(Tableaumouvement[Quantité],Tableaumouvement[Designation],Tableaureference[[#This Row],[Designation]],Tableaumouvement[Mouvement],"Sortie"),0)</f>
        <v>0</v>
      </c>
      <c r="G36" s="4">
        <f t="shared" si="0"/>
        <v>10</v>
      </c>
      <c r="H36" s="4">
        <v>15</v>
      </c>
      <c r="I36" s="15" t="str">
        <f t="shared" si="1"/>
        <v>Reapprovisionnement</v>
      </c>
    </row>
    <row r="37" spans="1:9">
      <c r="A37" s="14" t="s">
        <v>44</v>
      </c>
      <c r="B37" s="5" t="s">
        <v>144</v>
      </c>
      <c r="C37" s="5" t="s">
        <v>214</v>
      </c>
      <c r="D37" s="4">
        <v>10</v>
      </c>
      <c r="E37" s="16">
        <f>IFERROR(SUMIFS(Tableaumouvement[Quantité],Tableaumouvement[Designation],Tableaureference[[#This Row],[Designation]],Tableaumouvement[Mouvement],"Entrée"),0)</f>
        <v>29</v>
      </c>
      <c r="F37" s="16">
        <f>IFERROR(SUMIFS(Tableaumouvement[Quantité],Tableaumouvement[Designation],Tableaureference[[#This Row],[Designation]],Tableaumouvement[Mouvement],"Sortie"),0)</f>
        <v>0</v>
      </c>
      <c r="G37" s="4">
        <f t="shared" si="0"/>
        <v>39</v>
      </c>
      <c r="H37" s="4">
        <v>15</v>
      </c>
      <c r="I37" s="15" t="str">
        <f t="shared" si="1"/>
        <v>OK</v>
      </c>
    </row>
    <row r="38" spans="1:9">
      <c r="A38" s="14" t="s">
        <v>45</v>
      </c>
      <c r="B38" s="5" t="s">
        <v>145</v>
      </c>
      <c r="C38" s="5" t="s">
        <v>215</v>
      </c>
      <c r="D38" s="4">
        <v>10</v>
      </c>
      <c r="E38" s="16">
        <f>IFERROR(SUMIFS(Tableaumouvement[Quantité],Tableaumouvement[Designation],Tableaureference[[#This Row],[Designation]],Tableaumouvement[Mouvement],"Entrée"),0)</f>
        <v>0</v>
      </c>
      <c r="F38" s="16">
        <f>IFERROR(SUMIFS(Tableaumouvement[Quantité],Tableaumouvement[Designation],Tableaureference[[#This Row],[Designation]],Tableaumouvement[Mouvement],"Sortie"),0)</f>
        <v>0</v>
      </c>
      <c r="G38" s="4">
        <f t="shared" si="0"/>
        <v>10</v>
      </c>
      <c r="H38" s="4">
        <v>15</v>
      </c>
      <c r="I38" s="15" t="str">
        <f t="shared" si="1"/>
        <v>Reapprovisionnement</v>
      </c>
    </row>
    <row r="39" spans="1:9">
      <c r="A39" s="14" t="s">
        <v>46</v>
      </c>
      <c r="B39" s="5" t="s">
        <v>146</v>
      </c>
      <c r="C39" s="5" t="s">
        <v>216</v>
      </c>
      <c r="D39" s="4">
        <v>10</v>
      </c>
      <c r="E39" s="16">
        <f>IFERROR(SUMIFS(Tableaumouvement[Quantité],Tableaumouvement[Designation],Tableaureference[[#This Row],[Designation]],Tableaumouvement[Mouvement],"Entrée"),0)</f>
        <v>0</v>
      </c>
      <c r="F39" s="16">
        <f>IFERROR(SUMIFS(Tableaumouvement[Quantité],Tableaumouvement[Designation],Tableaureference[[#This Row],[Designation]],Tableaumouvement[Mouvement],"Sortie"),0)</f>
        <v>0</v>
      </c>
      <c r="G39" s="4">
        <f t="shared" si="0"/>
        <v>10</v>
      </c>
      <c r="H39" s="4">
        <v>15</v>
      </c>
      <c r="I39" s="15" t="str">
        <f t="shared" si="1"/>
        <v>Reapprovisionnement</v>
      </c>
    </row>
    <row r="40" spans="1:9">
      <c r="A40" s="14" t="s">
        <v>47</v>
      </c>
      <c r="B40" s="5" t="s">
        <v>147</v>
      </c>
      <c r="C40" s="5" t="s">
        <v>217</v>
      </c>
      <c r="D40" s="4">
        <v>10</v>
      </c>
      <c r="E40" s="16">
        <f>IFERROR(SUMIFS(Tableaumouvement[Quantité],Tableaumouvement[Designation],Tableaureference[[#This Row],[Designation]],Tableaumouvement[Mouvement],"Entrée"),0)</f>
        <v>63</v>
      </c>
      <c r="F40" s="16">
        <f>IFERROR(SUMIFS(Tableaumouvement[Quantité],Tableaumouvement[Designation],Tableaureference[[#This Row],[Designation]],Tableaumouvement[Mouvement],"Sortie"),0)</f>
        <v>0</v>
      </c>
      <c r="G40" s="4">
        <f t="shared" si="0"/>
        <v>73</v>
      </c>
      <c r="H40" s="4">
        <v>15</v>
      </c>
      <c r="I40" s="15" t="str">
        <f t="shared" si="1"/>
        <v>OK</v>
      </c>
    </row>
    <row r="41" spans="1:9">
      <c r="A41" s="14" t="s">
        <v>48</v>
      </c>
      <c r="B41" s="5" t="s">
        <v>148</v>
      </c>
      <c r="C41" s="5" t="s">
        <v>218</v>
      </c>
      <c r="D41" s="4">
        <v>10</v>
      </c>
      <c r="E41" s="16">
        <f>IFERROR(SUMIFS(Tableaumouvement[Quantité],Tableaumouvement[Designation],Tableaureference[[#This Row],[Designation]],Tableaumouvement[Mouvement],"Entrée"),0)</f>
        <v>0</v>
      </c>
      <c r="F41" s="16">
        <f>IFERROR(SUMIFS(Tableaumouvement[Quantité],Tableaumouvement[Designation],Tableaureference[[#This Row],[Designation]],Tableaumouvement[Mouvement],"Sortie"),0)</f>
        <v>0</v>
      </c>
      <c r="G41" s="4">
        <f t="shared" si="0"/>
        <v>10</v>
      </c>
      <c r="H41" s="4">
        <v>15</v>
      </c>
      <c r="I41" s="15" t="str">
        <f t="shared" si="1"/>
        <v>Reapprovisionnement</v>
      </c>
    </row>
    <row r="42" spans="1:9">
      <c r="A42" s="14" t="s">
        <v>49</v>
      </c>
      <c r="B42" s="5" t="s">
        <v>149</v>
      </c>
      <c r="C42" s="5" t="s">
        <v>209</v>
      </c>
      <c r="D42" s="4">
        <v>10</v>
      </c>
      <c r="E42" s="16">
        <f>IFERROR(SUMIFS(Tableaumouvement[Quantité],Tableaumouvement[Designation],Tableaureference[[#This Row],[Designation]],Tableaumouvement[Mouvement],"Entrée"),0)</f>
        <v>0</v>
      </c>
      <c r="F42" s="16">
        <f>IFERROR(SUMIFS(Tableaumouvement[Quantité],Tableaumouvement[Designation],Tableaureference[[#This Row],[Designation]],Tableaumouvement[Mouvement],"Sortie"),0)</f>
        <v>0</v>
      </c>
      <c r="G42" s="4">
        <f t="shared" si="0"/>
        <v>10</v>
      </c>
      <c r="H42" s="4">
        <v>15</v>
      </c>
      <c r="I42" s="15" t="str">
        <f t="shared" si="1"/>
        <v>Reapprovisionnement</v>
      </c>
    </row>
    <row r="43" spans="1:9">
      <c r="A43" s="14" t="s">
        <v>50</v>
      </c>
      <c r="B43" s="5" t="s">
        <v>150</v>
      </c>
      <c r="C43" s="5" t="s">
        <v>210</v>
      </c>
      <c r="D43" s="4">
        <v>10</v>
      </c>
      <c r="E43" s="16">
        <f>IFERROR(SUMIFS(Tableaumouvement[Quantité],Tableaumouvement[Designation],Tableaureference[[#This Row],[Designation]],Tableaumouvement[Mouvement],"Entrée"),0)</f>
        <v>0</v>
      </c>
      <c r="F43" s="16">
        <f>IFERROR(SUMIFS(Tableaumouvement[Quantité],Tableaumouvement[Designation],Tableaureference[[#This Row],[Designation]],Tableaumouvement[Mouvement],"Sortie"),0)</f>
        <v>0</v>
      </c>
      <c r="G43" s="4">
        <f t="shared" si="0"/>
        <v>10</v>
      </c>
      <c r="H43" s="4">
        <v>15</v>
      </c>
      <c r="I43" s="15" t="str">
        <f t="shared" si="1"/>
        <v>Reapprovisionnement</v>
      </c>
    </row>
    <row r="44" spans="1:9">
      <c r="A44" s="14" t="s">
        <v>51</v>
      </c>
      <c r="B44" s="5" t="s">
        <v>151</v>
      </c>
      <c r="C44" s="5" t="s">
        <v>211</v>
      </c>
      <c r="D44" s="4">
        <v>10</v>
      </c>
      <c r="E44" s="16">
        <f>IFERROR(SUMIFS(Tableaumouvement[Quantité],Tableaumouvement[Designation],Tableaureference[[#This Row],[Designation]],Tableaumouvement[Mouvement],"Entrée"),0)</f>
        <v>0</v>
      </c>
      <c r="F44" s="16">
        <f>IFERROR(SUMIFS(Tableaumouvement[Quantité],Tableaumouvement[Designation],Tableaureference[[#This Row],[Designation]],Tableaumouvement[Mouvement],"Sortie"),0)</f>
        <v>0</v>
      </c>
      <c r="G44" s="4">
        <f t="shared" si="0"/>
        <v>10</v>
      </c>
      <c r="H44" s="4">
        <v>15</v>
      </c>
      <c r="I44" s="15" t="str">
        <f t="shared" si="1"/>
        <v>Reapprovisionnement</v>
      </c>
    </row>
    <row r="45" spans="1:9">
      <c r="A45" s="14" t="s">
        <v>52</v>
      </c>
      <c r="B45" s="5" t="s">
        <v>152</v>
      </c>
      <c r="C45" s="5" t="s">
        <v>212</v>
      </c>
      <c r="D45" s="4">
        <v>10</v>
      </c>
      <c r="E45" s="16">
        <f>IFERROR(SUMIFS(Tableaumouvement[Quantité],Tableaumouvement[Designation],Tableaureference[[#This Row],[Designation]],Tableaumouvement[Mouvement],"Entrée"),0)</f>
        <v>0</v>
      </c>
      <c r="F45" s="16">
        <f>IFERROR(SUMIFS(Tableaumouvement[Quantité],Tableaumouvement[Designation],Tableaureference[[#This Row],[Designation]],Tableaumouvement[Mouvement],"Sortie"),0)</f>
        <v>0</v>
      </c>
      <c r="G45" s="4">
        <f t="shared" si="0"/>
        <v>10</v>
      </c>
      <c r="H45" s="4">
        <v>15</v>
      </c>
      <c r="I45" s="15" t="str">
        <f t="shared" si="1"/>
        <v>Reapprovisionnement</v>
      </c>
    </row>
    <row r="46" spans="1:9">
      <c r="A46" s="14" t="s">
        <v>53</v>
      </c>
      <c r="B46" s="5" t="s">
        <v>153</v>
      </c>
      <c r="C46" s="5" t="s">
        <v>213</v>
      </c>
      <c r="D46" s="4">
        <v>10</v>
      </c>
      <c r="E46" s="16">
        <f>IFERROR(SUMIFS(Tableaumouvement[Quantité],Tableaumouvement[Designation],Tableaureference[[#This Row],[Designation]],Tableaumouvement[Mouvement],"Entrée"),0)</f>
        <v>0</v>
      </c>
      <c r="F46" s="16">
        <f>IFERROR(SUMIFS(Tableaumouvement[Quantité],Tableaumouvement[Designation],Tableaureference[[#This Row],[Designation]],Tableaumouvement[Mouvement],"Sortie"),0)</f>
        <v>0</v>
      </c>
      <c r="G46" s="4">
        <f t="shared" si="0"/>
        <v>10</v>
      </c>
      <c r="H46" s="4">
        <v>15</v>
      </c>
      <c r="I46" s="15" t="str">
        <f t="shared" si="1"/>
        <v>Reapprovisionnement</v>
      </c>
    </row>
    <row r="47" spans="1:9">
      <c r="A47" s="14" t="s">
        <v>54</v>
      </c>
      <c r="B47" s="5" t="s">
        <v>154</v>
      </c>
      <c r="C47" s="5" t="s">
        <v>214</v>
      </c>
      <c r="D47" s="4">
        <v>10</v>
      </c>
      <c r="E47" s="16">
        <f>IFERROR(SUMIFS(Tableaumouvement[Quantité],Tableaumouvement[Designation],Tableaureference[[#This Row],[Designation]],Tableaumouvement[Mouvement],"Entrée"),0)</f>
        <v>29</v>
      </c>
      <c r="F47" s="16">
        <f>IFERROR(SUMIFS(Tableaumouvement[Quantité],Tableaumouvement[Designation],Tableaureference[[#This Row],[Designation]],Tableaumouvement[Mouvement],"Sortie"),0)</f>
        <v>0</v>
      </c>
      <c r="G47" s="4">
        <f t="shared" si="0"/>
        <v>39</v>
      </c>
      <c r="H47" s="4">
        <v>15</v>
      </c>
      <c r="I47" s="15" t="str">
        <f t="shared" si="1"/>
        <v>OK</v>
      </c>
    </row>
    <row r="48" spans="1:9">
      <c r="A48" s="14" t="s">
        <v>55</v>
      </c>
      <c r="B48" s="5" t="s">
        <v>155</v>
      </c>
      <c r="C48" s="5" t="s">
        <v>215</v>
      </c>
      <c r="D48" s="4">
        <v>10</v>
      </c>
      <c r="E48" s="16">
        <f>IFERROR(SUMIFS(Tableaumouvement[Quantité],Tableaumouvement[Designation],Tableaureference[[#This Row],[Designation]],Tableaumouvement[Mouvement],"Entrée"),0)</f>
        <v>0</v>
      </c>
      <c r="F48" s="16">
        <f>IFERROR(SUMIFS(Tableaumouvement[Quantité],Tableaumouvement[Designation],Tableaureference[[#This Row],[Designation]],Tableaumouvement[Mouvement],"Sortie"),0)</f>
        <v>0</v>
      </c>
      <c r="G48" s="4">
        <f t="shared" si="0"/>
        <v>10</v>
      </c>
      <c r="H48" s="4">
        <v>15</v>
      </c>
      <c r="I48" s="15" t="str">
        <f t="shared" si="1"/>
        <v>Reapprovisionnement</v>
      </c>
    </row>
    <row r="49" spans="1:9">
      <c r="A49" s="14" t="s">
        <v>56</v>
      </c>
      <c r="B49" s="5" t="s">
        <v>156</v>
      </c>
      <c r="C49" s="5" t="s">
        <v>216</v>
      </c>
      <c r="D49" s="4">
        <v>10</v>
      </c>
      <c r="E49" s="16">
        <f>IFERROR(SUMIFS(Tableaumouvement[Quantité],Tableaumouvement[Designation],Tableaureference[[#This Row],[Designation]],Tableaumouvement[Mouvement],"Entrée"),0)</f>
        <v>0</v>
      </c>
      <c r="F49" s="16">
        <f>IFERROR(SUMIFS(Tableaumouvement[Quantité],Tableaumouvement[Designation],Tableaureference[[#This Row],[Designation]],Tableaumouvement[Mouvement],"Sortie"),0)</f>
        <v>0</v>
      </c>
      <c r="G49" s="4">
        <f t="shared" si="0"/>
        <v>10</v>
      </c>
      <c r="H49" s="4">
        <v>15</v>
      </c>
      <c r="I49" s="15" t="str">
        <f t="shared" si="1"/>
        <v>Reapprovisionnement</v>
      </c>
    </row>
    <row r="50" spans="1:9">
      <c r="A50" s="14" t="s">
        <v>57</v>
      </c>
      <c r="B50" s="5" t="s">
        <v>157</v>
      </c>
      <c r="C50" s="5" t="s">
        <v>217</v>
      </c>
      <c r="D50" s="4">
        <v>10</v>
      </c>
      <c r="E50" s="16">
        <f>IFERROR(SUMIFS(Tableaumouvement[Quantité],Tableaumouvement[Designation],Tableaureference[[#This Row],[Designation]],Tableaumouvement[Mouvement],"Entrée"),0)</f>
        <v>67</v>
      </c>
      <c r="F50" s="16">
        <f>IFERROR(SUMIFS(Tableaumouvement[Quantité],Tableaumouvement[Designation],Tableaureference[[#This Row],[Designation]],Tableaumouvement[Mouvement],"Sortie"),0)</f>
        <v>0</v>
      </c>
      <c r="G50" s="4">
        <f t="shared" si="0"/>
        <v>77</v>
      </c>
      <c r="H50" s="4">
        <v>15</v>
      </c>
      <c r="I50" s="15" t="str">
        <f t="shared" si="1"/>
        <v>OK</v>
      </c>
    </row>
    <row r="51" spans="1:9">
      <c r="A51" s="14" t="s">
        <v>58</v>
      </c>
      <c r="B51" s="5" t="s">
        <v>158</v>
      </c>
      <c r="C51" s="5" t="s">
        <v>218</v>
      </c>
      <c r="D51" s="4">
        <v>10</v>
      </c>
      <c r="E51" s="16">
        <f>IFERROR(SUMIFS(Tableaumouvement[Quantité],Tableaumouvement[Designation],Tableaureference[[#This Row],[Designation]],Tableaumouvement[Mouvement],"Entrée"),0)</f>
        <v>0</v>
      </c>
      <c r="F51" s="16">
        <f>IFERROR(SUMIFS(Tableaumouvement[Quantité],Tableaumouvement[Designation],Tableaureference[[#This Row],[Designation]],Tableaumouvement[Mouvement],"Sortie"),0)</f>
        <v>0</v>
      </c>
      <c r="G51" s="4">
        <f t="shared" si="0"/>
        <v>10</v>
      </c>
      <c r="H51" s="4">
        <v>15</v>
      </c>
      <c r="I51" s="15" t="str">
        <f t="shared" si="1"/>
        <v>Reapprovisionnement</v>
      </c>
    </row>
    <row r="52" spans="1:9">
      <c r="A52" s="14" t="s">
        <v>59</v>
      </c>
      <c r="B52" s="5" t="s">
        <v>159</v>
      </c>
      <c r="C52" s="5" t="s">
        <v>209</v>
      </c>
      <c r="D52" s="4">
        <v>10</v>
      </c>
      <c r="E52" s="16">
        <f>IFERROR(SUMIFS(Tableaumouvement[Quantité],Tableaumouvement[Designation],Tableaureference[[#This Row],[Designation]],Tableaumouvement[Mouvement],"Entrée"),0)</f>
        <v>0</v>
      </c>
      <c r="F52" s="16">
        <f>IFERROR(SUMIFS(Tableaumouvement[Quantité],Tableaumouvement[Designation],Tableaureference[[#This Row],[Designation]],Tableaumouvement[Mouvement],"Sortie"),0)</f>
        <v>0</v>
      </c>
      <c r="G52" s="4">
        <f t="shared" si="0"/>
        <v>10</v>
      </c>
      <c r="H52" s="4">
        <v>15</v>
      </c>
      <c r="I52" s="15" t="str">
        <f t="shared" si="1"/>
        <v>Reapprovisionnement</v>
      </c>
    </row>
    <row r="53" spans="1:9">
      <c r="A53" s="14" t="s">
        <v>60</v>
      </c>
      <c r="B53" s="5" t="s">
        <v>160</v>
      </c>
      <c r="C53" s="5" t="s">
        <v>210</v>
      </c>
      <c r="D53" s="4">
        <v>10</v>
      </c>
      <c r="E53" s="16">
        <f>IFERROR(SUMIFS(Tableaumouvement[Quantité],Tableaumouvement[Designation],Tableaureference[[#This Row],[Designation]],Tableaumouvement[Mouvement],"Entrée"),0)</f>
        <v>0</v>
      </c>
      <c r="F53" s="16">
        <f>IFERROR(SUMIFS(Tableaumouvement[Quantité],Tableaumouvement[Designation],Tableaureference[[#This Row],[Designation]],Tableaumouvement[Mouvement],"Sortie"),0)</f>
        <v>0</v>
      </c>
      <c r="G53" s="4">
        <f t="shared" si="0"/>
        <v>10</v>
      </c>
      <c r="H53" s="4">
        <v>15</v>
      </c>
      <c r="I53" s="15" t="str">
        <f t="shared" si="1"/>
        <v>Reapprovisionnement</v>
      </c>
    </row>
    <row r="54" spans="1:9">
      <c r="A54" s="14" t="s">
        <v>61</v>
      </c>
      <c r="B54" s="5" t="s">
        <v>161</v>
      </c>
      <c r="C54" s="5" t="s">
        <v>211</v>
      </c>
      <c r="D54" s="4">
        <v>10</v>
      </c>
      <c r="E54" s="16">
        <f>IFERROR(SUMIFS(Tableaumouvement[Quantité],Tableaumouvement[Designation],Tableaureference[[#This Row],[Designation]],Tableaumouvement[Mouvement],"Entrée"),0)</f>
        <v>0</v>
      </c>
      <c r="F54" s="16">
        <f>IFERROR(SUMIFS(Tableaumouvement[Quantité],Tableaumouvement[Designation],Tableaureference[[#This Row],[Designation]],Tableaumouvement[Mouvement],"Sortie"),0)</f>
        <v>0</v>
      </c>
      <c r="G54" s="4">
        <f t="shared" si="0"/>
        <v>10</v>
      </c>
      <c r="H54" s="4">
        <v>15</v>
      </c>
      <c r="I54" s="15" t="str">
        <f t="shared" si="1"/>
        <v>Reapprovisionnement</v>
      </c>
    </row>
    <row r="55" spans="1:9">
      <c r="A55" s="14" t="s">
        <v>62</v>
      </c>
      <c r="B55" s="5" t="s">
        <v>162</v>
      </c>
      <c r="C55" s="5" t="s">
        <v>212</v>
      </c>
      <c r="D55" s="4">
        <v>10</v>
      </c>
      <c r="E55" s="16">
        <f>IFERROR(SUMIFS(Tableaumouvement[Quantité],Tableaumouvement[Designation],Tableaureference[[#This Row],[Designation]],Tableaumouvement[Mouvement],"Entrée"),0)</f>
        <v>0</v>
      </c>
      <c r="F55" s="16">
        <f>IFERROR(SUMIFS(Tableaumouvement[Quantité],Tableaumouvement[Designation],Tableaureference[[#This Row],[Designation]],Tableaumouvement[Mouvement],"Sortie"),0)</f>
        <v>0</v>
      </c>
      <c r="G55" s="4">
        <f t="shared" si="0"/>
        <v>10</v>
      </c>
      <c r="H55" s="4">
        <v>15</v>
      </c>
      <c r="I55" s="15" t="str">
        <f t="shared" si="1"/>
        <v>Reapprovisionnement</v>
      </c>
    </row>
    <row r="56" spans="1:9">
      <c r="A56" s="14" t="s">
        <v>63</v>
      </c>
      <c r="B56" s="5" t="s">
        <v>163</v>
      </c>
      <c r="C56" s="5" t="s">
        <v>213</v>
      </c>
      <c r="D56" s="4">
        <v>10</v>
      </c>
      <c r="E56" s="16">
        <f>IFERROR(SUMIFS(Tableaumouvement[Quantité],Tableaumouvement[Designation],Tableaureference[[#This Row],[Designation]],Tableaumouvement[Mouvement],"Entrée"),0)</f>
        <v>0</v>
      </c>
      <c r="F56" s="16">
        <f>IFERROR(SUMIFS(Tableaumouvement[Quantité],Tableaumouvement[Designation],Tableaureference[[#This Row],[Designation]],Tableaumouvement[Mouvement],"Sortie"),0)</f>
        <v>0</v>
      </c>
      <c r="G56" s="4">
        <f t="shared" si="0"/>
        <v>10</v>
      </c>
      <c r="H56" s="4">
        <v>15</v>
      </c>
      <c r="I56" s="15" t="str">
        <f t="shared" si="1"/>
        <v>Reapprovisionnement</v>
      </c>
    </row>
    <row r="57" spans="1:9">
      <c r="A57" s="14" t="s">
        <v>64</v>
      </c>
      <c r="B57" s="5" t="s">
        <v>164</v>
      </c>
      <c r="C57" s="5" t="s">
        <v>214</v>
      </c>
      <c r="D57" s="4">
        <v>10</v>
      </c>
      <c r="E57" s="16">
        <f>IFERROR(SUMIFS(Tableaumouvement[Quantité],Tableaumouvement[Designation],Tableaureference[[#This Row],[Designation]],Tableaumouvement[Mouvement],"Entrée"),0)</f>
        <v>17</v>
      </c>
      <c r="F57" s="16">
        <f>IFERROR(SUMIFS(Tableaumouvement[Quantité],Tableaumouvement[Designation],Tableaureference[[#This Row],[Designation]],Tableaumouvement[Mouvement],"Sortie"),0)</f>
        <v>0</v>
      </c>
      <c r="G57" s="4">
        <f t="shared" si="0"/>
        <v>27</v>
      </c>
      <c r="H57" s="4">
        <v>15</v>
      </c>
      <c r="I57" s="15" t="str">
        <f t="shared" si="1"/>
        <v>OK</v>
      </c>
    </row>
    <row r="58" spans="1:9">
      <c r="A58" s="14" t="s">
        <v>65</v>
      </c>
      <c r="B58" s="5" t="s">
        <v>165</v>
      </c>
      <c r="C58" s="5" t="s">
        <v>215</v>
      </c>
      <c r="D58" s="4">
        <v>10</v>
      </c>
      <c r="E58" s="16">
        <f>IFERROR(SUMIFS(Tableaumouvement[Quantité],Tableaumouvement[Designation],Tableaureference[[#This Row],[Designation]],Tableaumouvement[Mouvement],"Entrée"),0)</f>
        <v>0</v>
      </c>
      <c r="F58" s="16">
        <f>IFERROR(SUMIFS(Tableaumouvement[Quantité],Tableaumouvement[Designation],Tableaureference[[#This Row],[Designation]],Tableaumouvement[Mouvement],"Sortie"),0)</f>
        <v>0</v>
      </c>
      <c r="G58" s="4">
        <f t="shared" si="0"/>
        <v>10</v>
      </c>
      <c r="H58" s="4">
        <v>15</v>
      </c>
      <c r="I58" s="15" t="str">
        <f t="shared" si="1"/>
        <v>Reapprovisionnement</v>
      </c>
    </row>
    <row r="59" spans="1:9">
      <c r="A59" s="14" t="s">
        <v>66</v>
      </c>
      <c r="B59" s="5" t="s">
        <v>166</v>
      </c>
      <c r="C59" s="5" t="s">
        <v>216</v>
      </c>
      <c r="D59" s="4">
        <v>10</v>
      </c>
      <c r="E59" s="16">
        <f>IFERROR(SUMIFS(Tableaumouvement[Quantité],Tableaumouvement[Designation],Tableaureference[[#This Row],[Designation]],Tableaumouvement[Mouvement],"Entrée"),0)</f>
        <v>0</v>
      </c>
      <c r="F59" s="16">
        <f>IFERROR(SUMIFS(Tableaumouvement[Quantité],Tableaumouvement[Designation],Tableaureference[[#This Row],[Designation]],Tableaumouvement[Mouvement],"Sortie"),0)</f>
        <v>0</v>
      </c>
      <c r="G59" s="4">
        <f t="shared" si="0"/>
        <v>10</v>
      </c>
      <c r="H59" s="4">
        <v>15</v>
      </c>
      <c r="I59" s="15" t="str">
        <f t="shared" si="1"/>
        <v>Reapprovisionnement</v>
      </c>
    </row>
    <row r="60" spans="1:9">
      <c r="A60" s="14" t="s">
        <v>67</v>
      </c>
      <c r="B60" s="5" t="s">
        <v>167</v>
      </c>
      <c r="C60" s="5" t="s">
        <v>217</v>
      </c>
      <c r="D60" s="4">
        <v>10</v>
      </c>
      <c r="E60" s="16">
        <f>IFERROR(SUMIFS(Tableaumouvement[Quantité],Tableaumouvement[Designation],Tableaureference[[#This Row],[Designation]],Tableaumouvement[Mouvement],"Entrée"),0)</f>
        <v>45</v>
      </c>
      <c r="F60" s="16">
        <f>IFERROR(SUMIFS(Tableaumouvement[Quantité],Tableaumouvement[Designation],Tableaureference[[#This Row],[Designation]],Tableaumouvement[Mouvement],"Sortie"),0)</f>
        <v>0</v>
      </c>
      <c r="G60" s="4">
        <f t="shared" si="0"/>
        <v>55</v>
      </c>
      <c r="H60" s="4">
        <v>15</v>
      </c>
      <c r="I60" s="15" t="str">
        <f t="shared" si="1"/>
        <v>OK</v>
      </c>
    </row>
    <row r="61" spans="1:9">
      <c r="A61" s="14" t="s">
        <v>68</v>
      </c>
      <c r="B61" s="5" t="s">
        <v>168</v>
      </c>
      <c r="C61" s="5" t="s">
        <v>218</v>
      </c>
      <c r="D61" s="4">
        <v>10</v>
      </c>
      <c r="E61" s="16">
        <f>IFERROR(SUMIFS(Tableaumouvement[Quantité],Tableaumouvement[Designation],Tableaureference[[#This Row],[Designation]],Tableaumouvement[Mouvement],"Entrée"),0)</f>
        <v>0</v>
      </c>
      <c r="F61" s="16">
        <f>IFERROR(SUMIFS(Tableaumouvement[Quantité],Tableaumouvement[Designation],Tableaureference[[#This Row],[Designation]],Tableaumouvement[Mouvement],"Sortie"),0)</f>
        <v>0</v>
      </c>
      <c r="G61" s="4">
        <f t="shared" si="0"/>
        <v>10</v>
      </c>
      <c r="H61" s="4">
        <v>15</v>
      </c>
      <c r="I61" s="15" t="str">
        <f t="shared" si="1"/>
        <v>Reapprovisionnement</v>
      </c>
    </row>
    <row r="62" spans="1:9">
      <c r="A62" s="14" t="s">
        <v>69</v>
      </c>
      <c r="B62" s="5" t="s">
        <v>169</v>
      </c>
      <c r="C62" s="5" t="s">
        <v>209</v>
      </c>
      <c r="D62" s="4">
        <v>10</v>
      </c>
      <c r="E62" s="16">
        <f>IFERROR(SUMIFS(Tableaumouvement[Quantité],Tableaumouvement[Designation],Tableaureference[[#This Row],[Designation]],Tableaumouvement[Mouvement],"Entrée"),0)</f>
        <v>0</v>
      </c>
      <c r="F62" s="16">
        <f>IFERROR(SUMIFS(Tableaumouvement[Quantité],Tableaumouvement[Designation],Tableaureference[[#This Row],[Designation]],Tableaumouvement[Mouvement],"Sortie"),0)</f>
        <v>0</v>
      </c>
      <c r="G62" s="4">
        <f t="shared" si="0"/>
        <v>10</v>
      </c>
      <c r="H62" s="4">
        <v>15</v>
      </c>
      <c r="I62" s="15" t="str">
        <f t="shared" si="1"/>
        <v>Reapprovisionnement</v>
      </c>
    </row>
    <row r="63" spans="1:9">
      <c r="A63" s="14" t="s">
        <v>70</v>
      </c>
      <c r="B63" s="5" t="s">
        <v>170</v>
      </c>
      <c r="C63" s="5" t="s">
        <v>210</v>
      </c>
      <c r="D63" s="4">
        <v>10</v>
      </c>
      <c r="E63" s="16">
        <f>IFERROR(SUMIFS(Tableaumouvement[Quantité],Tableaumouvement[Designation],Tableaureference[[#This Row],[Designation]],Tableaumouvement[Mouvement],"Entrée"),0)</f>
        <v>0</v>
      </c>
      <c r="F63" s="16">
        <f>IFERROR(SUMIFS(Tableaumouvement[Quantité],Tableaumouvement[Designation],Tableaureference[[#This Row],[Designation]],Tableaumouvement[Mouvement],"Sortie"),0)</f>
        <v>0</v>
      </c>
      <c r="G63" s="4">
        <f t="shared" si="0"/>
        <v>10</v>
      </c>
      <c r="H63" s="4">
        <v>15</v>
      </c>
      <c r="I63" s="15" t="str">
        <f t="shared" si="1"/>
        <v>Reapprovisionnement</v>
      </c>
    </row>
    <row r="64" spans="1:9">
      <c r="A64" s="14" t="s">
        <v>71</v>
      </c>
      <c r="B64" s="5" t="s">
        <v>171</v>
      </c>
      <c r="C64" s="5" t="s">
        <v>211</v>
      </c>
      <c r="D64" s="4">
        <v>10</v>
      </c>
      <c r="E64" s="16">
        <f>IFERROR(SUMIFS(Tableaumouvement[Quantité],Tableaumouvement[Designation],Tableaureference[[#This Row],[Designation]],Tableaumouvement[Mouvement],"Entrée"),0)</f>
        <v>0</v>
      </c>
      <c r="F64" s="16">
        <f>IFERROR(SUMIFS(Tableaumouvement[Quantité],Tableaumouvement[Designation],Tableaureference[[#This Row],[Designation]],Tableaumouvement[Mouvement],"Sortie"),0)</f>
        <v>0</v>
      </c>
      <c r="G64" s="4">
        <f t="shared" si="0"/>
        <v>10</v>
      </c>
      <c r="H64" s="4">
        <v>15</v>
      </c>
      <c r="I64" s="15" t="str">
        <f t="shared" si="1"/>
        <v>Reapprovisionnement</v>
      </c>
    </row>
    <row r="65" spans="1:9">
      <c r="A65" s="14" t="s">
        <v>72</v>
      </c>
      <c r="B65" s="5" t="s">
        <v>172</v>
      </c>
      <c r="C65" s="5" t="s">
        <v>212</v>
      </c>
      <c r="D65" s="4">
        <v>10</v>
      </c>
      <c r="E65" s="16">
        <f>IFERROR(SUMIFS(Tableaumouvement[Quantité],Tableaumouvement[Designation],Tableaureference[[#This Row],[Designation]],Tableaumouvement[Mouvement],"Entrée"),0)</f>
        <v>0</v>
      </c>
      <c r="F65" s="16">
        <f>IFERROR(SUMIFS(Tableaumouvement[Quantité],Tableaumouvement[Designation],Tableaureference[[#This Row],[Designation]],Tableaumouvement[Mouvement],"Sortie"),0)</f>
        <v>0</v>
      </c>
      <c r="G65" s="4">
        <f t="shared" si="0"/>
        <v>10</v>
      </c>
      <c r="H65" s="4">
        <v>15</v>
      </c>
      <c r="I65" s="15" t="str">
        <f t="shared" si="1"/>
        <v>Reapprovisionnement</v>
      </c>
    </row>
    <row r="66" spans="1:9">
      <c r="A66" s="14" t="s">
        <v>73</v>
      </c>
      <c r="B66" s="5" t="s">
        <v>173</v>
      </c>
      <c r="C66" s="5" t="s">
        <v>213</v>
      </c>
      <c r="D66" s="4">
        <v>10</v>
      </c>
      <c r="E66" s="16">
        <f>IFERROR(SUMIFS(Tableaumouvement[Quantité],Tableaumouvement[Designation],Tableaureference[[#This Row],[Designation]],Tableaumouvement[Mouvement],"Entrée"),0)</f>
        <v>0</v>
      </c>
      <c r="F66" s="16">
        <f>IFERROR(SUMIFS(Tableaumouvement[Quantité],Tableaumouvement[Designation],Tableaureference[[#This Row],[Designation]],Tableaumouvement[Mouvement],"Sortie"),0)</f>
        <v>0</v>
      </c>
      <c r="G66" s="4">
        <f t="shared" si="0"/>
        <v>10</v>
      </c>
      <c r="H66" s="4">
        <v>15</v>
      </c>
      <c r="I66" s="15" t="str">
        <f t="shared" si="1"/>
        <v>Reapprovisionnement</v>
      </c>
    </row>
    <row r="67" spans="1:9">
      <c r="A67" s="14" t="s">
        <v>74</v>
      </c>
      <c r="B67" s="5" t="s">
        <v>174</v>
      </c>
      <c r="C67" s="5" t="s">
        <v>214</v>
      </c>
      <c r="D67" s="4">
        <v>10</v>
      </c>
      <c r="E67" s="16">
        <f>IFERROR(SUMIFS(Tableaumouvement[Quantité],Tableaumouvement[Designation],Tableaureference[[#This Row],[Designation]],Tableaumouvement[Mouvement],"Entrée"),0)</f>
        <v>19</v>
      </c>
      <c r="F67" s="16">
        <f>IFERROR(SUMIFS(Tableaumouvement[Quantité],Tableaumouvement[Designation],Tableaureference[[#This Row],[Designation]],Tableaumouvement[Mouvement],"Sortie"),0)</f>
        <v>0</v>
      </c>
      <c r="G67" s="4">
        <f t="shared" ref="G67:G101" si="2">D67+E67-F67</f>
        <v>29</v>
      </c>
      <c r="H67" s="4">
        <v>15</v>
      </c>
      <c r="I67" s="15" t="str">
        <f t="shared" ref="I67:I101" si="3">IF(G67&lt;H67,"Reapprovisionnement","OK")</f>
        <v>OK</v>
      </c>
    </row>
    <row r="68" spans="1:9">
      <c r="A68" s="14" t="s">
        <v>75</v>
      </c>
      <c r="B68" s="5" t="s">
        <v>175</v>
      </c>
      <c r="C68" s="5" t="s">
        <v>215</v>
      </c>
      <c r="D68" s="4">
        <v>10</v>
      </c>
      <c r="E68" s="16">
        <f>IFERROR(SUMIFS(Tableaumouvement[Quantité],Tableaumouvement[Designation],Tableaureference[[#This Row],[Designation]],Tableaumouvement[Mouvement],"Entrée"),0)</f>
        <v>0</v>
      </c>
      <c r="F68" s="16">
        <f>IFERROR(SUMIFS(Tableaumouvement[Quantité],Tableaumouvement[Designation],Tableaureference[[#This Row],[Designation]],Tableaumouvement[Mouvement],"Sortie"),0)</f>
        <v>0</v>
      </c>
      <c r="G68" s="4">
        <f t="shared" si="2"/>
        <v>10</v>
      </c>
      <c r="H68" s="4">
        <v>15</v>
      </c>
      <c r="I68" s="15" t="str">
        <f t="shared" si="3"/>
        <v>Reapprovisionnement</v>
      </c>
    </row>
    <row r="69" spans="1:9">
      <c r="A69" s="14" t="s">
        <v>76</v>
      </c>
      <c r="B69" s="5" t="s">
        <v>176</v>
      </c>
      <c r="C69" s="5" t="s">
        <v>216</v>
      </c>
      <c r="D69" s="4">
        <v>10</v>
      </c>
      <c r="E69" s="16">
        <f>IFERROR(SUMIFS(Tableaumouvement[Quantité],Tableaumouvement[Designation],Tableaureference[[#This Row],[Designation]],Tableaumouvement[Mouvement],"Entrée"),0)</f>
        <v>0</v>
      </c>
      <c r="F69" s="16">
        <f>IFERROR(SUMIFS(Tableaumouvement[Quantité],Tableaumouvement[Designation],Tableaureference[[#This Row],[Designation]],Tableaumouvement[Mouvement],"Sortie"),0)</f>
        <v>0</v>
      </c>
      <c r="G69" s="4">
        <f t="shared" si="2"/>
        <v>10</v>
      </c>
      <c r="H69" s="4">
        <v>15</v>
      </c>
      <c r="I69" s="15" t="str">
        <f t="shared" si="3"/>
        <v>Reapprovisionnement</v>
      </c>
    </row>
    <row r="70" spans="1:9">
      <c r="A70" s="14" t="s">
        <v>77</v>
      </c>
      <c r="B70" s="5" t="s">
        <v>177</v>
      </c>
      <c r="C70" s="5" t="s">
        <v>217</v>
      </c>
      <c r="D70" s="4">
        <v>10</v>
      </c>
      <c r="E70" s="16">
        <f>IFERROR(SUMIFS(Tableaumouvement[Quantité],Tableaumouvement[Designation],Tableaureference[[#This Row],[Designation]],Tableaumouvement[Mouvement],"Entrée"),0)</f>
        <v>53</v>
      </c>
      <c r="F70" s="16">
        <f>IFERROR(SUMIFS(Tableaumouvement[Quantité],Tableaumouvement[Designation],Tableaureference[[#This Row],[Designation]],Tableaumouvement[Mouvement],"Sortie"),0)</f>
        <v>0</v>
      </c>
      <c r="G70" s="4">
        <f t="shared" si="2"/>
        <v>63</v>
      </c>
      <c r="H70" s="4">
        <v>15</v>
      </c>
      <c r="I70" s="15" t="str">
        <f t="shared" si="3"/>
        <v>OK</v>
      </c>
    </row>
    <row r="71" spans="1:9">
      <c r="A71" s="14" t="s">
        <v>78</v>
      </c>
      <c r="B71" s="5" t="s">
        <v>178</v>
      </c>
      <c r="C71" s="5" t="s">
        <v>218</v>
      </c>
      <c r="D71" s="4">
        <v>10</v>
      </c>
      <c r="E71" s="16">
        <f>IFERROR(SUMIFS(Tableaumouvement[Quantité],Tableaumouvement[Designation],Tableaureference[[#This Row],[Designation]],Tableaumouvement[Mouvement],"Entrée"),0)</f>
        <v>0</v>
      </c>
      <c r="F71" s="16">
        <f>IFERROR(SUMIFS(Tableaumouvement[Quantité],Tableaumouvement[Designation],Tableaureference[[#This Row],[Designation]],Tableaumouvement[Mouvement],"Sortie"),0)</f>
        <v>0</v>
      </c>
      <c r="G71" s="4">
        <f t="shared" si="2"/>
        <v>10</v>
      </c>
      <c r="H71" s="4">
        <v>15</v>
      </c>
      <c r="I71" s="15" t="str">
        <f t="shared" si="3"/>
        <v>Reapprovisionnement</v>
      </c>
    </row>
    <row r="72" spans="1:9">
      <c r="A72" s="14" t="s">
        <v>79</v>
      </c>
      <c r="B72" s="5" t="s">
        <v>179</v>
      </c>
      <c r="C72" s="5" t="s">
        <v>209</v>
      </c>
      <c r="D72" s="4">
        <v>10</v>
      </c>
      <c r="E72" s="16">
        <f>IFERROR(SUMIFS(Tableaumouvement[Quantité],Tableaumouvement[Designation],Tableaureference[[#This Row],[Designation]],Tableaumouvement[Mouvement],"Entrée"),0)</f>
        <v>0</v>
      </c>
      <c r="F72" s="16">
        <f>IFERROR(SUMIFS(Tableaumouvement[Quantité],Tableaumouvement[Designation],Tableaureference[[#This Row],[Designation]],Tableaumouvement[Mouvement],"Sortie"),0)</f>
        <v>0</v>
      </c>
      <c r="G72" s="4">
        <f t="shared" si="2"/>
        <v>10</v>
      </c>
      <c r="H72" s="4">
        <v>15</v>
      </c>
      <c r="I72" s="15" t="str">
        <f t="shared" si="3"/>
        <v>Reapprovisionnement</v>
      </c>
    </row>
    <row r="73" spans="1:9">
      <c r="A73" s="14" t="s">
        <v>80</v>
      </c>
      <c r="B73" s="5" t="s">
        <v>180</v>
      </c>
      <c r="C73" s="5" t="s">
        <v>210</v>
      </c>
      <c r="D73" s="4">
        <v>10</v>
      </c>
      <c r="E73" s="16">
        <f>IFERROR(SUMIFS(Tableaumouvement[Quantité],Tableaumouvement[Designation],Tableaureference[[#This Row],[Designation]],Tableaumouvement[Mouvement],"Entrée"),0)</f>
        <v>0</v>
      </c>
      <c r="F73" s="16">
        <f>IFERROR(SUMIFS(Tableaumouvement[Quantité],Tableaumouvement[Designation],Tableaureference[[#This Row],[Designation]],Tableaumouvement[Mouvement],"Sortie"),0)</f>
        <v>0</v>
      </c>
      <c r="G73" s="4">
        <f t="shared" si="2"/>
        <v>10</v>
      </c>
      <c r="H73" s="4">
        <v>15</v>
      </c>
      <c r="I73" s="15" t="str">
        <f t="shared" si="3"/>
        <v>Reapprovisionnement</v>
      </c>
    </row>
    <row r="74" spans="1:9">
      <c r="A74" s="14" t="s">
        <v>81</v>
      </c>
      <c r="B74" s="5" t="s">
        <v>181</v>
      </c>
      <c r="C74" s="5" t="s">
        <v>211</v>
      </c>
      <c r="D74" s="4">
        <v>10</v>
      </c>
      <c r="E74" s="16">
        <f>IFERROR(SUMIFS(Tableaumouvement[Quantité],Tableaumouvement[Designation],Tableaureference[[#This Row],[Designation]],Tableaumouvement[Mouvement],"Entrée"),0)</f>
        <v>0</v>
      </c>
      <c r="F74" s="16">
        <f>IFERROR(SUMIFS(Tableaumouvement[Quantité],Tableaumouvement[Designation],Tableaureference[[#This Row],[Designation]],Tableaumouvement[Mouvement],"Sortie"),0)</f>
        <v>0</v>
      </c>
      <c r="G74" s="4">
        <f t="shared" si="2"/>
        <v>10</v>
      </c>
      <c r="H74" s="4">
        <v>15</v>
      </c>
      <c r="I74" s="15" t="str">
        <f t="shared" si="3"/>
        <v>Reapprovisionnement</v>
      </c>
    </row>
    <row r="75" spans="1:9">
      <c r="A75" s="14" t="s">
        <v>82</v>
      </c>
      <c r="B75" s="5" t="s">
        <v>182</v>
      </c>
      <c r="C75" s="5" t="s">
        <v>212</v>
      </c>
      <c r="D75" s="4">
        <v>10</v>
      </c>
      <c r="E75" s="16">
        <f>IFERROR(SUMIFS(Tableaumouvement[Quantité],Tableaumouvement[Designation],Tableaureference[[#This Row],[Designation]],Tableaumouvement[Mouvement],"Entrée"),0)</f>
        <v>0</v>
      </c>
      <c r="F75" s="16">
        <f>IFERROR(SUMIFS(Tableaumouvement[Quantité],Tableaumouvement[Designation],Tableaureference[[#This Row],[Designation]],Tableaumouvement[Mouvement],"Sortie"),0)</f>
        <v>0</v>
      </c>
      <c r="G75" s="4">
        <f t="shared" si="2"/>
        <v>10</v>
      </c>
      <c r="H75" s="4">
        <v>15</v>
      </c>
      <c r="I75" s="15" t="str">
        <f t="shared" si="3"/>
        <v>Reapprovisionnement</v>
      </c>
    </row>
    <row r="76" spans="1:9">
      <c r="A76" s="14" t="s">
        <v>83</v>
      </c>
      <c r="B76" s="5" t="s">
        <v>183</v>
      </c>
      <c r="C76" s="5" t="s">
        <v>213</v>
      </c>
      <c r="D76" s="4">
        <v>10</v>
      </c>
      <c r="E76" s="16">
        <f>IFERROR(SUMIFS(Tableaumouvement[Quantité],Tableaumouvement[Designation],Tableaureference[[#This Row],[Designation]],Tableaumouvement[Mouvement],"Entrée"),0)</f>
        <v>0</v>
      </c>
      <c r="F76" s="16">
        <f>IFERROR(SUMIFS(Tableaumouvement[Quantité],Tableaumouvement[Designation],Tableaureference[[#This Row],[Designation]],Tableaumouvement[Mouvement],"Sortie"),0)</f>
        <v>0</v>
      </c>
      <c r="G76" s="4">
        <f t="shared" si="2"/>
        <v>10</v>
      </c>
      <c r="H76" s="4">
        <v>15</v>
      </c>
      <c r="I76" s="15" t="str">
        <f t="shared" si="3"/>
        <v>Reapprovisionnement</v>
      </c>
    </row>
    <row r="77" spans="1:9">
      <c r="A77" s="14" t="s">
        <v>84</v>
      </c>
      <c r="B77" s="5" t="s">
        <v>184</v>
      </c>
      <c r="C77" s="5" t="s">
        <v>214</v>
      </c>
      <c r="D77" s="4">
        <v>10</v>
      </c>
      <c r="E77" s="16">
        <f>IFERROR(SUMIFS(Tableaumouvement[Quantité],Tableaumouvement[Designation],Tableaureference[[#This Row],[Designation]],Tableaumouvement[Mouvement],"Entrée"),0)</f>
        <v>15</v>
      </c>
      <c r="F77" s="16">
        <f>IFERROR(SUMIFS(Tableaumouvement[Quantité],Tableaumouvement[Designation],Tableaureference[[#This Row],[Designation]],Tableaumouvement[Mouvement],"Sortie"),0)</f>
        <v>0</v>
      </c>
      <c r="G77" s="4">
        <f t="shared" si="2"/>
        <v>25</v>
      </c>
      <c r="H77" s="4">
        <v>15</v>
      </c>
      <c r="I77" s="15" t="str">
        <f t="shared" si="3"/>
        <v>OK</v>
      </c>
    </row>
    <row r="78" spans="1:9">
      <c r="A78" s="14" t="s">
        <v>85</v>
      </c>
      <c r="B78" s="5" t="s">
        <v>185</v>
      </c>
      <c r="C78" s="5" t="s">
        <v>215</v>
      </c>
      <c r="D78" s="4">
        <v>10</v>
      </c>
      <c r="E78" s="16">
        <f>IFERROR(SUMIFS(Tableaumouvement[Quantité],Tableaumouvement[Designation],Tableaureference[[#This Row],[Designation]],Tableaumouvement[Mouvement],"Entrée"),0)</f>
        <v>0</v>
      </c>
      <c r="F78" s="16">
        <f>IFERROR(SUMIFS(Tableaumouvement[Quantité],Tableaumouvement[Designation],Tableaureference[[#This Row],[Designation]],Tableaumouvement[Mouvement],"Sortie"),0)</f>
        <v>0</v>
      </c>
      <c r="G78" s="4">
        <f t="shared" si="2"/>
        <v>10</v>
      </c>
      <c r="H78" s="4">
        <v>15</v>
      </c>
      <c r="I78" s="15" t="str">
        <f t="shared" si="3"/>
        <v>Reapprovisionnement</v>
      </c>
    </row>
    <row r="79" spans="1:9">
      <c r="A79" s="14" t="s">
        <v>86</v>
      </c>
      <c r="B79" s="5" t="s">
        <v>186</v>
      </c>
      <c r="C79" s="5" t="s">
        <v>216</v>
      </c>
      <c r="D79" s="4">
        <v>10</v>
      </c>
      <c r="E79" s="16">
        <f>IFERROR(SUMIFS(Tableaumouvement[Quantité],Tableaumouvement[Designation],Tableaureference[[#This Row],[Designation]],Tableaumouvement[Mouvement],"Entrée"),0)</f>
        <v>0</v>
      </c>
      <c r="F79" s="16">
        <f>IFERROR(SUMIFS(Tableaumouvement[Quantité],Tableaumouvement[Designation],Tableaureference[[#This Row],[Designation]],Tableaumouvement[Mouvement],"Sortie"),0)</f>
        <v>0</v>
      </c>
      <c r="G79" s="4">
        <f t="shared" si="2"/>
        <v>10</v>
      </c>
      <c r="H79" s="4">
        <v>15</v>
      </c>
      <c r="I79" s="15" t="str">
        <f t="shared" si="3"/>
        <v>Reapprovisionnement</v>
      </c>
    </row>
    <row r="80" spans="1:9">
      <c r="A80" s="14" t="s">
        <v>87</v>
      </c>
      <c r="B80" s="5" t="s">
        <v>187</v>
      </c>
      <c r="C80" s="5" t="s">
        <v>217</v>
      </c>
      <c r="D80" s="4">
        <v>10</v>
      </c>
      <c r="E80" s="16">
        <f>IFERROR(SUMIFS(Tableaumouvement[Quantité],Tableaumouvement[Designation],Tableaureference[[#This Row],[Designation]],Tableaumouvement[Mouvement],"Entrée"),0)</f>
        <v>41</v>
      </c>
      <c r="F80" s="16">
        <f>IFERROR(SUMIFS(Tableaumouvement[Quantité],Tableaumouvement[Designation],Tableaureference[[#This Row],[Designation]],Tableaumouvement[Mouvement],"Sortie"),0)</f>
        <v>0</v>
      </c>
      <c r="G80" s="4">
        <f t="shared" si="2"/>
        <v>51</v>
      </c>
      <c r="H80" s="4">
        <v>15</v>
      </c>
      <c r="I80" s="15" t="str">
        <f t="shared" si="3"/>
        <v>OK</v>
      </c>
    </row>
    <row r="81" spans="1:9">
      <c r="A81" s="14" t="s">
        <v>88</v>
      </c>
      <c r="B81" s="5" t="s">
        <v>188</v>
      </c>
      <c r="C81" s="5" t="s">
        <v>218</v>
      </c>
      <c r="D81" s="4">
        <v>10</v>
      </c>
      <c r="E81" s="16">
        <f>IFERROR(SUMIFS(Tableaumouvement[Quantité],Tableaumouvement[Designation],Tableaureference[[#This Row],[Designation]],Tableaumouvement[Mouvement],"Entrée"),0)</f>
        <v>0</v>
      </c>
      <c r="F81" s="16">
        <f>IFERROR(SUMIFS(Tableaumouvement[Quantité],Tableaumouvement[Designation],Tableaureference[[#This Row],[Designation]],Tableaumouvement[Mouvement],"Sortie"),0)</f>
        <v>0</v>
      </c>
      <c r="G81" s="4">
        <f t="shared" si="2"/>
        <v>10</v>
      </c>
      <c r="H81" s="4">
        <v>15</v>
      </c>
      <c r="I81" s="15" t="str">
        <f t="shared" si="3"/>
        <v>Reapprovisionnement</v>
      </c>
    </row>
    <row r="82" spans="1:9">
      <c r="A82" s="14" t="s">
        <v>89</v>
      </c>
      <c r="B82" s="5" t="s">
        <v>189</v>
      </c>
      <c r="C82" s="5" t="s">
        <v>209</v>
      </c>
      <c r="D82" s="4">
        <v>10</v>
      </c>
      <c r="E82" s="16">
        <f>IFERROR(SUMIFS(Tableaumouvement[Quantité],Tableaumouvement[Designation],Tableaureference[[#This Row],[Designation]],Tableaumouvement[Mouvement],"Entrée"),0)</f>
        <v>0</v>
      </c>
      <c r="F82" s="16">
        <f>IFERROR(SUMIFS(Tableaumouvement[Quantité],Tableaumouvement[Designation],Tableaureference[[#This Row],[Designation]],Tableaumouvement[Mouvement],"Sortie"),0)</f>
        <v>0</v>
      </c>
      <c r="G82" s="4">
        <f t="shared" si="2"/>
        <v>10</v>
      </c>
      <c r="H82" s="4">
        <v>15</v>
      </c>
      <c r="I82" s="15" t="str">
        <f t="shared" si="3"/>
        <v>Reapprovisionnement</v>
      </c>
    </row>
    <row r="83" spans="1:9">
      <c r="A83" s="14" t="s">
        <v>90</v>
      </c>
      <c r="B83" s="5" t="s">
        <v>190</v>
      </c>
      <c r="C83" s="5" t="s">
        <v>210</v>
      </c>
      <c r="D83" s="4">
        <v>10</v>
      </c>
      <c r="E83" s="16">
        <f>IFERROR(SUMIFS(Tableaumouvement[Quantité],Tableaumouvement[Designation],Tableaureference[[#This Row],[Designation]],Tableaumouvement[Mouvement],"Entrée"),0)</f>
        <v>0</v>
      </c>
      <c r="F83" s="16">
        <f>IFERROR(SUMIFS(Tableaumouvement[Quantité],Tableaumouvement[Designation],Tableaureference[[#This Row],[Designation]],Tableaumouvement[Mouvement],"Sortie"),0)</f>
        <v>0</v>
      </c>
      <c r="G83" s="4">
        <f t="shared" si="2"/>
        <v>10</v>
      </c>
      <c r="H83" s="4">
        <v>15</v>
      </c>
      <c r="I83" s="15" t="str">
        <f t="shared" si="3"/>
        <v>Reapprovisionnement</v>
      </c>
    </row>
    <row r="84" spans="1:9">
      <c r="A84" s="14" t="s">
        <v>91</v>
      </c>
      <c r="B84" s="5" t="s">
        <v>191</v>
      </c>
      <c r="C84" s="5" t="s">
        <v>211</v>
      </c>
      <c r="D84" s="4">
        <v>10</v>
      </c>
      <c r="E84" s="16">
        <f>IFERROR(SUMIFS(Tableaumouvement[Quantité],Tableaumouvement[Designation],Tableaureference[[#This Row],[Designation]],Tableaumouvement[Mouvement],"Entrée"),0)</f>
        <v>0</v>
      </c>
      <c r="F84" s="16">
        <f>IFERROR(SUMIFS(Tableaumouvement[Quantité],Tableaumouvement[Designation],Tableaureference[[#This Row],[Designation]],Tableaumouvement[Mouvement],"Sortie"),0)</f>
        <v>0</v>
      </c>
      <c r="G84" s="4">
        <f t="shared" si="2"/>
        <v>10</v>
      </c>
      <c r="H84" s="4">
        <v>15</v>
      </c>
      <c r="I84" s="15" t="str">
        <f t="shared" si="3"/>
        <v>Reapprovisionnement</v>
      </c>
    </row>
    <row r="85" spans="1:9">
      <c r="A85" s="14" t="s">
        <v>92</v>
      </c>
      <c r="B85" s="5" t="s">
        <v>192</v>
      </c>
      <c r="C85" s="5" t="s">
        <v>212</v>
      </c>
      <c r="D85" s="4">
        <v>10</v>
      </c>
      <c r="E85" s="16">
        <f>IFERROR(SUMIFS(Tableaumouvement[Quantité],Tableaumouvement[Designation],Tableaureference[[#This Row],[Designation]],Tableaumouvement[Mouvement],"Entrée"),0)</f>
        <v>0</v>
      </c>
      <c r="F85" s="16">
        <f>IFERROR(SUMIFS(Tableaumouvement[Quantité],Tableaumouvement[Designation],Tableaureference[[#This Row],[Designation]],Tableaumouvement[Mouvement],"Sortie"),0)</f>
        <v>0</v>
      </c>
      <c r="G85" s="4">
        <f t="shared" si="2"/>
        <v>10</v>
      </c>
      <c r="H85" s="4">
        <v>15</v>
      </c>
      <c r="I85" s="15" t="str">
        <f t="shared" si="3"/>
        <v>Reapprovisionnement</v>
      </c>
    </row>
    <row r="86" spans="1:9">
      <c r="A86" s="14" t="s">
        <v>93</v>
      </c>
      <c r="B86" s="5" t="s">
        <v>193</v>
      </c>
      <c r="C86" s="5" t="s">
        <v>213</v>
      </c>
      <c r="D86" s="4">
        <v>10</v>
      </c>
      <c r="E86" s="16">
        <f>IFERROR(SUMIFS(Tableaumouvement[Quantité],Tableaumouvement[Designation],Tableaureference[[#This Row],[Designation]],Tableaumouvement[Mouvement],"Entrée"),0)</f>
        <v>0</v>
      </c>
      <c r="F86" s="16">
        <f>IFERROR(SUMIFS(Tableaumouvement[Quantité],Tableaumouvement[Designation],Tableaureference[[#This Row],[Designation]],Tableaumouvement[Mouvement],"Sortie"),0)</f>
        <v>0</v>
      </c>
      <c r="G86" s="4">
        <f t="shared" si="2"/>
        <v>10</v>
      </c>
      <c r="H86" s="4">
        <v>15</v>
      </c>
      <c r="I86" s="15" t="str">
        <f t="shared" si="3"/>
        <v>Reapprovisionnement</v>
      </c>
    </row>
    <row r="87" spans="1:9">
      <c r="A87" s="14" t="s">
        <v>94</v>
      </c>
      <c r="B87" s="5" t="s">
        <v>194</v>
      </c>
      <c r="C87" s="5" t="s">
        <v>214</v>
      </c>
      <c r="D87" s="4">
        <v>10</v>
      </c>
      <c r="E87" s="16">
        <f>IFERROR(SUMIFS(Tableaumouvement[Quantité],Tableaumouvement[Designation],Tableaureference[[#This Row],[Designation]],Tableaumouvement[Mouvement],"Entrée"),0)</f>
        <v>21</v>
      </c>
      <c r="F87" s="16">
        <f>IFERROR(SUMIFS(Tableaumouvement[Quantité],Tableaumouvement[Designation],Tableaureference[[#This Row],[Designation]],Tableaumouvement[Mouvement],"Sortie"),0)</f>
        <v>0</v>
      </c>
      <c r="G87" s="4">
        <f t="shared" si="2"/>
        <v>31</v>
      </c>
      <c r="H87" s="4">
        <v>15</v>
      </c>
      <c r="I87" s="15" t="str">
        <f t="shared" si="3"/>
        <v>OK</v>
      </c>
    </row>
    <row r="88" spans="1:9">
      <c r="A88" s="14" t="s">
        <v>95</v>
      </c>
      <c r="B88" s="5" t="s">
        <v>195</v>
      </c>
      <c r="C88" s="5" t="s">
        <v>215</v>
      </c>
      <c r="D88" s="4">
        <v>10</v>
      </c>
      <c r="E88" s="16">
        <f>IFERROR(SUMIFS(Tableaumouvement[Quantité],Tableaumouvement[Designation],Tableaureference[[#This Row],[Designation]],Tableaumouvement[Mouvement],"Entrée"),0)</f>
        <v>0</v>
      </c>
      <c r="F88" s="16">
        <f>IFERROR(SUMIFS(Tableaumouvement[Quantité],Tableaumouvement[Designation],Tableaureference[[#This Row],[Designation]],Tableaumouvement[Mouvement],"Sortie"),0)</f>
        <v>0</v>
      </c>
      <c r="G88" s="4">
        <f t="shared" si="2"/>
        <v>10</v>
      </c>
      <c r="H88" s="4">
        <v>15</v>
      </c>
      <c r="I88" s="15" t="str">
        <f t="shared" si="3"/>
        <v>Reapprovisionnement</v>
      </c>
    </row>
    <row r="89" spans="1:9">
      <c r="A89" s="14" t="s">
        <v>96</v>
      </c>
      <c r="B89" s="5" t="s">
        <v>196</v>
      </c>
      <c r="C89" s="5" t="s">
        <v>216</v>
      </c>
      <c r="D89" s="4">
        <v>10</v>
      </c>
      <c r="E89" s="16">
        <f>IFERROR(SUMIFS(Tableaumouvement[Quantité],Tableaumouvement[Designation],Tableaureference[[#This Row],[Designation]],Tableaumouvement[Mouvement],"Entrée"),0)</f>
        <v>0</v>
      </c>
      <c r="F89" s="16">
        <f>IFERROR(SUMIFS(Tableaumouvement[Quantité],Tableaumouvement[Designation],Tableaureference[[#This Row],[Designation]],Tableaumouvement[Mouvement],"Sortie"),0)</f>
        <v>0</v>
      </c>
      <c r="G89" s="4">
        <f t="shared" si="2"/>
        <v>10</v>
      </c>
      <c r="H89" s="4">
        <v>15</v>
      </c>
      <c r="I89" s="15" t="str">
        <f t="shared" si="3"/>
        <v>Reapprovisionnement</v>
      </c>
    </row>
    <row r="90" spans="1:9">
      <c r="A90" s="14" t="s">
        <v>97</v>
      </c>
      <c r="B90" s="5" t="s">
        <v>197</v>
      </c>
      <c r="C90" s="5" t="s">
        <v>217</v>
      </c>
      <c r="D90" s="4">
        <v>10</v>
      </c>
      <c r="E90" s="16">
        <f>IFERROR(SUMIFS(Tableaumouvement[Quantité],Tableaumouvement[Designation],Tableaureference[[#This Row],[Designation]],Tableaumouvement[Mouvement],"Entrée"),0)</f>
        <v>26</v>
      </c>
      <c r="F90" s="16">
        <f>IFERROR(SUMIFS(Tableaumouvement[Quantité],Tableaumouvement[Designation],Tableaureference[[#This Row],[Designation]],Tableaumouvement[Mouvement],"Sortie"),0)</f>
        <v>0</v>
      </c>
      <c r="G90" s="4">
        <f t="shared" si="2"/>
        <v>36</v>
      </c>
      <c r="H90" s="4">
        <v>15</v>
      </c>
      <c r="I90" s="15" t="str">
        <f t="shared" si="3"/>
        <v>OK</v>
      </c>
    </row>
    <row r="91" spans="1:9">
      <c r="A91" s="14" t="s">
        <v>98</v>
      </c>
      <c r="B91" s="5" t="s">
        <v>198</v>
      </c>
      <c r="C91" s="5" t="s">
        <v>218</v>
      </c>
      <c r="D91" s="4">
        <v>10</v>
      </c>
      <c r="E91" s="16">
        <f>IFERROR(SUMIFS(Tableaumouvement[Quantité],Tableaumouvement[Designation],Tableaureference[[#This Row],[Designation]],Tableaumouvement[Mouvement],"Entrée"),0)</f>
        <v>0</v>
      </c>
      <c r="F91" s="16">
        <f>IFERROR(SUMIFS(Tableaumouvement[Quantité],Tableaumouvement[Designation],Tableaureference[[#This Row],[Designation]],Tableaumouvement[Mouvement],"Sortie"),0)</f>
        <v>0</v>
      </c>
      <c r="G91" s="4">
        <f t="shared" si="2"/>
        <v>10</v>
      </c>
      <c r="H91" s="4">
        <v>15</v>
      </c>
      <c r="I91" s="15" t="str">
        <f t="shared" si="3"/>
        <v>Reapprovisionnement</v>
      </c>
    </row>
    <row r="92" spans="1:9">
      <c r="A92" s="14" t="s">
        <v>99</v>
      </c>
      <c r="B92" s="5" t="s">
        <v>199</v>
      </c>
      <c r="C92" s="5" t="s">
        <v>209</v>
      </c>
      <c r="D92" s="4">
        <v>10</v>
      </c>
      <c r="E92" s="16">
        <f>IFERROR(SUMIFS(Tableaumouvement[Quantité],Tableaumouvement[Designation],Tableaureference[[#This Row],[Designation]],Tableaumouvement[Mouvement],"Entrée"),0)</f>
        <v>0</v>
      </c>
      <c r="F92" s="16">
        <f>IFERROR(SUMIFS(Tableaumouvement[Quantité],Tableaumouvement[Designation],Tableaureference[[#This Row],[Designation]],Tableaumouvement[Mouvement],"Sortie"),0)</f>
        <v>0</v>
      </c>
      <c r="G92" s="4">
        <f t="shared" si="2"/>
        <v>10</v>
      </c>
      <c r="H92" s="4">
        <v>15</v>
      </c>
      <c r="I92" s="15" t="str">
        <f t="shared" si="3"/>
        <v>Reapprovisionnement</v>
      </c>
    </row>
    <row r="93" spans="1:9">
      <c r="A93" s="14" t="s">
        <v>100</v>
      </c>
      <c r="B93" s="5" t="s">
        <v>200</v>
      </c>
      <c r="C93" s="5" t="s">
        <v>210</v>
      </c>
      <c r="D93" s="4">
        <v>10</v>
      </c>
      <c r="E93" s="16">
        <f>IFERROR(SUMIFS(Tableaumouvement[Quantité],Tableaumouvement[Designation],Tableaureference[[#This Row],[Designation]],Tableaumouvement[Mouvement],"Entrée"),0)</f>
        <v>0</v>
      </c>
      <c r="F93" s="16">
        <f>IFERROR(SUMIFS(Tableaumouvement[Quantité],Tableaumouvement[Designation],Tableaureference[[#This Row],[Designation]],Tableaumouvement[Mouvement],"Sortie"),0)</f>
        <v>0</v>
      </c>
      <c r="G93" s="4">
        <f t="shared" si="2"/>
        <v>10</v>
      </c>
      <c r="H93" s="4">
        <v>15</v>
      </c>
      <c r="I93" s="15" t="str">
        <f t="shared" si="3"/>
        <v>Reapprovisionnement</v>
      </c>
    </row>
    <row r="94" spans="1:9">
      <c r="A94" s="14" t="s">
        <v>101</v>
      </c>
      <c r="B94" s="5" t="s">
        <v>201</v>
      </c>
      <c r="C94" s="5" t="s">
        <v>211</v>
      </c>
      <c r="D94" s="4">
        <v>10</v>
      </c>
      <c r="E94" s="16">
        <f>IFERROR(SUMIFS(Tableaumouvement[Quantité],Tableaumouvement[Designation],Tableaureference[[#This Row],[Designation]],Tableaumouvement[Mouvement],"Entrée"),0)</f>
        <v>0</v>
      </c>
      <c r="F94" s="16">
        <f>IFERROR(SUMIFS(Tableaumouvement[Quantité],Tableaumouvement[Designation],Tableaureference[[#This Row],[Designation]],Tableaumouvement[Mouvement],"Sortie"),0)</f>
        <v>0</v>
      </c>
      <c r="G94" s="4">
        <f t="shared" si="2"/>
        <v>10</v>
      </c>
      <c r="H94" s="4">
        <v>15</v>
      </c>
      <c r="I94" s="15" t="str">
        <f t="shared" si="3"/>
        <v>Reapprovisionnement</v>
      </c>
    </row>
    <row r="95" spans="1:9">
      <c r="A95" s="14" t="s">
        <v>102</v>
      </c>
      <c r="B95" s="5" t="s">
        <v>202</v>
      </c>
      <c r="C95" s="5" t="s">
        <v>212</v>
      </c>
      <c r="D95" s="4">
        <v>10</v>
      </c>
      <c r="E95" s="16">
        <f>IFERROR(SUMIFS(Tableaumouvement[Quantité],Tableaumouvement[Designation],Tableaureference[[#This Row],[Designation]],Tableaumouvement[Mouvement],"Entrée"),0)</f>
        <v>0</v>
      </c>
      <c r="F95" s="16">
        <f>IFERROR(SUMIFS(Tableaumouvement[Quantité],Tableaumouvement[Designation],Tableaureference[[#This Row],[Designation]],Tableaumouvement[Mouvement],"Sortie"),0)</f>
        <v>0</v>
      </c>
      <c r="G95" s="4">
        <f t="shared" si="2"/>
        <v>10</v>
      </c>
      <c r="H95" s="4">
        <v>15</v>
      </c>
      <c r="I95" s="15" t="str">
        <f t="shared" si="3"/>
        <v>Reapprovisionnement</v>
      </c>
    </row>
    <row r="96" spans="1:9">
      <c r="A96" s="14" t="s">
        <v>103</v>
      </c>
      <c r="B96" s="5" t="s">
        <v>203</v>
      </c>
      <c r="C96" s="5" t="s">
        <v>213</v>
      </c>
      <c r="D96" s="4">
        <v>10</v>
      </c>
      <c r="E96" s="16">
        <f>IFERROR(SUMIFS(Tableaumouvement[Quantité],Tableaumouvement[Designation],Tableaureference[[#This Row],[Designation]],Tableaumouvement[Mouvement],"Entrée"),0)</f>
        <v>0</v>
      </c>
      <c r="F96" s="16">
        <f>IFERROR(SUMIFS(Tableaumouvement[Quantité],Tableaumouvement[Designation],Tableaureference[[#This Row],[Designation]],Tableaumouvement[Mouvement],"Sortie"),0)</f>
        <v>0</v>
      </c>
      <c r="G96" s="4">
        <f t="shared" si="2"/>
        <v>10</v>
      </c>
      <c r="H96" s="4">
        <v>15</v>
      </c>
      <c r="I96" s="15" t="str">
        <f t="shared" si="3"/>
        <v>Reapprovisionnement</v>
      </c>
    </row>
    <row r="97" spans="1:9">
      <c r="A97" s="14" t="s">
        <v>104</v>
      </c>
      <c r="B97" s="5" t="s">
        <v>204</v>
      </c>
      <c r="C97" s="5" t="s">
        <v>214</v>
      </c>
      <c r="D97" s="4">
        <v>10</v>
      </c>
      <c r="E97" s="16">
        <f>IFERROR(SUMIFS(Tableaumouvement[Quantité],Tableaumouvement[Designation],Tableaureference[[#This Row],[Designation]],Tableaumouvement[Mouvement],"Entrée"),0)</f>
        <v>45</v>
      </c>
      <c r="F97" s="16">
        <f>IFERROR(SUMIFS(Tableaumouvement[Quantité],Tableaumouvement[Designation],Tableaureference[[#This Row],[Designation]],Tableaumouvement[Mouvement],"Sortie"),0)</f>
        <v>0</v>
      </c>
      <c r="G97" s="4">
        <f t="shared" si="2"/>
        <v>55</v>
      </c>
      <c r="H97" s="4">
        <v>15</v>
      </c>
      <c r="I97" s="15" t="str">
        <f t="shared" si="3"/>
        <v>OK</v>
      </c>
    </row>
    <row r="98" spans="1:9">
      <c r="A98" s="14" t="s">
        <v>105</v>
      </c>
      <c r="B98" s="5" t="s">
        <v>205</v>
      </c>
      <c r="C98" s="5" t="s">
        <v>215</v>
      </c>
      <c r="D98" s="4">
        <v>10</v>
      </c>
      <c r="E98" s="16">
        <f>IFERROR(SUMIFS(Tableaumouvement[Quantité],Tableaumouvement[Designation],Tableaureference[[#This Row],[Designation]],Tableaumouvement[Mouvement],"Entrée"),0)</f>
        <v>0</v>
      </c>
      <c r="F98" s="16">
        <f>IFERROR(SUMIFS(Tableaumouvement[Quantité],Tableaumouvement[Designation],Tableaureference[[#This Row],[Designation]],Tableaumouvement[Mouvement],"Sortie"),0)</f>
        <v>0</v>
      </c>
      <c r="G98" s="4">
        <f t="shared" si="2"/>
        <v>10</v>
      </c>
      <c r="H98" s="4">
        <v>15</v>
      </c>
      <c r="I98" s="15" t="str">
        <f t="shared" si="3"/>
        <v>Reapprovisionnement</v>
      </c>
    </row>
    <row r="99" spans="1:9">
      <c r="A99" s="14" t="s">
        <v>106</v>
      </c>
      <c r="B99" s="5" t="s">
        <v>206</v>
      </c>
      <c r="C99" s="5" t="s">
        <v>216</v>
      </c>
      <c r="D99" s="4">
        <v>10</v>
      </c>
      <c r="E99" s="16">
        <f>IFERROR(SUMIFS(Tableaumouvement[Quantité],Tableaumouvement[Designation],Tableaureference[[#This Row],[Designation]],Tableaumouvement[Mouvement],"Entrée"),0)</f>
        <v>13</v>
      </c>
      <c r="F99" s="16">
        <f>IFERROR(SUMIFS(Tableaumouvement[Quantité],Tableaumouvement[Designation],Tableaureference[[#This Row],[Designation]],Tableaumouvement[Mouvement],"Sortie"),0)</f>
        <v>0</v>
      </c>
      <c r="G99" s="4">
        <f t="shared" si="2"/>
        <v>23</v>
      </c>
      <c r="H99" s="4">
        <v>15</v>
      </c>
      <c r="I99" s="15" t="str">
        <f t="shared" si="3"/>
        <v>OK</v>
      </c>
    </row>
    <row r="100" spans="1:9">
      <c r="A100" s="14" t="s">
        <v>107</v>
      </c>
      <c r="B100" s="5" t="s">
        <v>207</v>
      </c>
      <c r="C100" s="5" t="s">
        <v>217</v>
      </c>
      <c r="D100" s="4">
        <v>10</v>
      </c>
      <c r="E100" s="16">
        <f>IFERROR(SUMIFS(Tableaumouvement[Quantité],Tableaumouvement[Designation],Tableaureference[[#This Row],[Designation]],Tableaumouvement[Mouvement],"Entrée"),0)</f>
        <v>51</v>
      </c>
      <c r="F100" s="16">
        <f>IFERROR(SUMIFS(Tableaumouvement[Quantité],Tableaumouvement[Designation],Tableaureference[[#This Row],[Designation]],Tableaumouvement[Mouvement],"Sortie"),0)</f>
        <v>0</v>
      </c>
      <c r="G100" s="4">
        <f t="shared" si="2"/>
        <v>61</v>
      </c>
      <c r="H100" s="4">
        <v>15</v>
      </c>
      <c r="I100" s="15" t="str">
        <f t="shared" si="3"/>
        <v>OK</v>
      </c>
    </row>
    <row r="101" spans="1:9">
      <c r="A101" s="14" t="s">
        <v>108</v>
      </c>
      <c r="B101" s="5" t="s">
        <v>208</v>
      </c>
      <c r="C101" s="5" t="s">
        <v>218</v>
      </c>
      <c r="D101" s="4">
        <v>10</v>
      </c>
      <c r="E101" s="16">
        <f>IFERROR(SUMIFS(Tableaumouvement[Quantité],Tableaumouvement[Designation],Tableaureference[[#This Row],[Designation]],Tableaumouvement[Mouvement],"Entrée"),0)</f>
        <v>19</v>
      </c>
      <c r="F101" s="16">
        <f>IFERROR(SUMIFS(Tableaumouvement[Quantité],Tableaumouvement[Designation],Tableaureference[[#This Row],[Designation]],Tableaumouvement[Mouvement],"Sortie"),0)</f>
        <v>0</v>
      </c>
      <c r="G101" s="4">
        <f t="shared" si="2"/>
        <v>29</v>
      </c>
      <c r="H101" s="4">
        <v>15</v>
      </c>
      <c r="I101" s="15" t="str">
        <f t="shared" si="3"/>
        <v>OK</v>
      </c>
    </row>
  </sheetData>
  <phoneticPr fontId="2" type="noConversion"/>
  <conditionalFormatting sqref="G2:G101">
    <cfRule type="cellIs" dxfId="7" priority="1" operator="lessThan">
      <formula>15</formula>
    </cfRule>
    <cfRule type="cellIs" dxfId="6" priority="3" operator="lessThan">
      <formula>18</formula>
    </cfRule>
  </conditionalFormatting>
  <dataValidations count="3">
    <dataValidation type="list" allowBlank="1" showInputMessage="1" showErrorMessage="1" sqref="B2:B101" xr:uid="{E0A862CC-BCDE-4D33-8428-709560EB6438}">
      <formula1>$B$2:$B$101</formula1>
    </dataValidation>
    <dataValidation type="list" allowBlank="1" showInputMessage="1" showErrorMessage="1" sqref="C2:C101" xr:uid="{0EAFD2DB-F712-4574-9E8C-C1250D6E415E}">
      <formula1>$C$2:$C$11</formula1>
    </dataValidation>
    <dataValidation type="list" allowBlank="1" showInputMessage="1" showErrorMessage="1" sqref="A2:A101" xr:uid="{60C00BFF-6F4C-4AFA-A8CE-94881AC0F2A6}">
      <formula1>$A$2:$A$101</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D2669AD9-4CFB-402C-91F9-F4D8B01449CE}">
            <x14:iconSet custom="1">
              <x14:cfvo type="percent">
                <xm:f>0</xm:f>
              </x14:cfvo>
              <x14:cfvo type="num">
                <xm:f>0</xm:f>
              </x14:cfvo>
              <x14:cfvo type="num" gte="0">
                <xm:f>15</xm:f>
              </x14:cfvo>
              <x14:cfIcon iconSet="3TrafficLights1" iconId="0"/>
              <x14:cfIcon iconSet="3TrafficLights1" iconId="0"/>
              <x14:cfIcon iconSet="3TrafficLights1" iconId="2"/>
            </x14:iconSet>
          </x14:cfRule>
          <xm:sqref>G2:G101</xm:sqref>
        </x14:conditionalFormatting>
        <x14:conditionalFormatting xmlns:xm="http://schemas.microsoft.com/office/excel/2006/main">
          <x14:cfRule type="containsText" priority="7" operator="containsText" id="{3F53C2EB-8BC8-471D-823E-205BE99AC9ED}">
            <xm:f>NOT(ISERROR(SEARCH("Reapprovisionnement",I2)))</xm:f>
            <xm:f>"Reapprovisionnement"</xm:f>
            <x14:dxf>
              <font>
                <b/>
                <i val="0"/>
                <color theme="0"/>
              </font>
              <fill>
                <patternFill>
                  <bgColor rgb="FFFF0000"/>
                </patternFill>
              </fill>
            </x14:dxf>
          </x14:cfRule>
          <x14:cfRule type="containsText" priority="8" operator="containsText" id="{49A6D536-4D8F-4BB6-AA0C-FFD0E844C757}">
            <xm:f>NOT(ISERROR(SEARCH("OK",I2)))</xm:f>
            <xm:f>"OK"</xm:f>
            <x14:dxf>
              <font>
                <b/>
                <i val="0"/>
                <color theme="0"/>
              </font>
              <fill>
                <patternFill>
                  <bgColor rgb="FF00B050"/>
                </patternFill>
              </fill>
            </x14:dxf>
          </x14:cfRule>
          <xm:sqref>I2:I101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1E2D-C43E-4DCC-A814-677F963F36DA}">
  <dimension ref="A1:E148"/>
  <sheetViews>
    <sheetView workbookViewId="0">
      <pane ySplit="1" topLeftCell="A31" activePane="bottomLeft" state="frozen"/>
      <selection pane="bottomLeft" activeCell="E42" sqref="E42"/>
    </sheetView>
  </sheetViews>
  <sheetFormatPr defaultRowHeight="15"/>
  <cols>
    <col min="1" max="11" width="20.7109375" customWidth="1"/>
  </cols>
  <sheetData>
    <row r="1" spans="1:5" ht="15.75" thickBot="1">
      <c r="A1" s="9" t="s">
        <v>0</v>
      </c>
      <c r="B1" s="10" t="s">
        <v>1</v>
      </c>
      <c r="C1" s="10" t="s">
        <v>219</v>
      </c>
      <c r="D1" s="10" t="s">
        <v>222</v>
      </c>
      <c r="E1" s="11" t="s">
        <v>221</v>
      </c>
    </row>
    <row r="2" spans="1:5">
      <c r="A2" s="2" t="s">
        <v>19</v>
      </c>
      <c r="B2" s="2" t="str">
        <f>IFERROR(VLOOKUP(Tableaumouvement[[#This Row],[Code]],Tableaureference[],2,FALSE),"")</f>
        <v>article 11</v>
      </c>
      <c r="C2" s="2" t="str">
        <f>IFERROR(VLOOKUP(Tableaumouvement[[#This Row],[Code]],Tableaureference[],3,FALSE),"")</f>
        <v>categorie 1</v>
      </c>
      <c r="D2" s="2" t="s">
        <v>223</v>
      </c>
      <c r="E2" s="2">
        <v>45</v>
      </c>
    </row>
    <row r="3" spans="1:5">
      <c r="A3" s="1" t="s">
        <v>19</v>
      </c>
      <c r="B3" s="2" t="str">
        <f>IFERROR(VLOOKUP(Tableaumouvement[[#This Row],[Code]],Tableaureference[],2,FALSE),"")</f>
        <v>article 11</v>
      </c>
      <c r="C3" s="2" t="str">
        <f>IFERROR(VLOOKUP(Tableaumouvement[[#This Row],[Code]],Tableaureference[],3,FALSE),"")</f>
        <v>categorie 1</v>
      </c>
      <c r="D3" s="1" t="s">
        <v>220</v>
      </c>
      <c r="E3" s="2">
        <v>5</v>
      </c>
    </row>
    <row r="4" spans="1:5">
      <c r="A4" s="1" t="s">
        <v>12</v>
      </c>
      <c r="B4" s="2" t="str">
        <f>IFERROR(VLOOKUP(Tableaumouvement[[#This Row],[Code]],Tableaureference[],2,FALSE),"")</f>
        <v>article 4</v>
      </c>
      <c r="C4" s="2" t="str">
        <f>IFERROR(VLOOKUP(Tableaumouvement[[#This Row],[Code]],Tableaureference[],3,FALSE),"")</f>
        <v>categorie 4</v>
      </c>
      <c r="D4" s="1" t="s">
        <v>223</v>
      </c>
      <c r="E4" s="2">
        <v>25</v>
      </c>
    </row>
    <row r="5" spans="1:5">
      <c r="A5" s="1" t="s">
        <v>15</v>
      </c>
      <c r="B5" s="2" t="str">
        <f>IFERROR(VLOOKUP(Tableaumouvement[[#This Row],[Code]],Tableaureference[],2,FALSE),"")</f>
        <v>article 7</v>
      </c>
      <c r="C5" s="2" t="str">
        <f>IFERROR(VLOOKUP(Tableaumouvement[[#This Row],[Code]],Tableaureference[],3,FALSE),"")</f>
        <v>categorie 7</v>
      </c>
      <c r="D5" s="1" t="s">
        <v>223</v>
      </c>
      <c r="E5" s="2">
        <v>15</v>
      </c>
    </row>
    <row r="6" spans="1:5">
      <c r="A6" s="1" t="s">
        <v>16</v>
      </c>
      <c r="B6" s="2" t="str">
        <f>IFERROR(VLOOKUP(Tableaumouvement[[#This Row],[Code]],Tableaureference[],2,FALSE),"")</f>
        <v>article 8</v>
      </c>
      <c r="C6" s="2" t="str">
        <f>IFERROR(VLOOKUP(Tableaumouvement[[#This Row],[Code]],Tableaureference[],3,FALSE),"")</f>
        <v>categorie 8</v>
      </c>
      <c r="D6" s="1" t="s">
        <v>223</v>
      </c>
      <c r="E6" s="2">
        <v>40</v>
      </c>
    </row>
    <row r="7" spans="1:5">
      <c r="A7" s="1" t="s">
        <v>19</v>
      </c>
      <c r="B7" s="2" t="str">
        <f>IFERROR(VLOOKUP(Tableaumouvement[[#This Row],[Code]],Tableaureference[],2,FALSE),"")</f>
        <v>article 11</v>
      </c>
      <c r="C7" s="2" t="str">
        <f>IFERROR(VLOOKUP(Tableaumouvement[[#This Row],[Code]],Tableaureference[],3,FALSE),"")</f>
        <v>categorie 1</v>
      </c>
      <c r="D7" s="1" t="s">
        <v>220</v>
      </c>
      <c r="E7" s="2">
        <v>10</v>
      </c>
    </row>
    <row r="8" spans="1:5">
      <c r="A8" s="1" t="s">
        <v>27</v>
      </c>
      <c r="B8" s="2" t="str">
        <f>IFERROR(VLOOKUP(Tableaumouvement[[#This Row],[Code]],Tableaureference[],2,FALSE),"")</f>
        <v>article 19</v>
      </c>
      <c r="C8" s="2" t="str">
        <f>IFERROR(VLOOKUP(Tableaumouvement[[#This Row],[Code]],Tableaureference[],3,FALSE),"")</f>
        <v>categorie 9</v>
      </c>
      <c r="D8" s="1" t="s">
        <v>223</v>
      </c>
      <c r="E8" s="2">
        <v>20</v>
      </c>
    </row>
    <row r="9" spans="1:5">
      <c r="A9" s="1" t="s">
        <v>20</v>
      </c>
      <c r="B9" s="2" t="str">
        <f>IFERROR(VLOOKUP(Tableaumouvement[[#This Row],[Code]],Tableaureference[],2,FALSE),"")</f>
        <v>article 12</v>
      </c>
      <c r="C9" s="2" t="str">
        <f>IFERROR(VLOOKUP(Tableaumouvement[[#This Row],[Code]],Tableaureference[],3,FALSE),"")</f>
        <v>categorie 2</v>
      </c>
      <c r="D9" s="1" t="s">
        <v>223</v>
      </c>
      <c r="E9" s="2">
        <v>15</v>
      </c>
    </row>
    <row r="10" spans="1:5">
      <c r="A10" s="1" t="s">
        <v>25</v>
      </c>
      <c r="B10" s="2" t="str">
        <f>IFERROR(VLOOKUP(Tableaumouvement[[#This Row],[Code]],Tableaureference[],2,FALSE),"")</f>
        <v>article 17</v>
      </c>
      <c r="C10" s="2" t="str">
        <f>IFERROR(VLOOKUP(Tableaumouvement[[#This Row],[Code]],Tableaureference[],3,FALSE),"")</f>
        <v>categorie 7</v>
      </c>
      <c r="D10" s="1" t="s">
        <v>223</v>
      </c>
      <c r="E10" s="2">
        <v>30</v>
      </c>
    </row>
    <row r="11" spans="1:5">
      <c r="A11" s="1" t="s">
        <v>9</v>
      </c>
      <c r="B11" s="2" t="str">
        <f>IFERROR(VLOOKUP(Tableaumouvement[[#This Row],[Code]],Tableaureference[],2,FALSE),"")</f>
        <v>article 1</v>
      </c>
      <c r="C11" s="2" t="str">
        <f>IFERROR(VLOOKUP(Tableaumouvement[[#This Row],[Code]],Tableaureference[],3,FALSE),"")</f>
        <v>categorie 1</v>
      </c>
      <c r="D11" s="1" t="s">
        <v>223</v>
      </c>
      <c r="E11" s="2">
        <v>40</v>
      </c>
    </row>
    <row r="12" spans="1:5">
      <c r="A12" s="1" t="s">
        <v>10</v>
      </c>
      <c r="B12" s="2" t="str">
        <f>IFERROR(VLOOKUP(Tableaumouvement[[#This Row],[Code]],Tableaureference[],2,FALSE),"")</f>
        <v>article 2</v>
      </c>
      <c r="C12" s="2" t="str">
        <f>IFERROR(VLOOKUP(Tableaumouvement[[#This Row],[Code]],Tableaureference[],3,FALSE),"")</f>
        <v>categorie 2</v>
      </c>
      <c r="D12" s="1" t="s">
        <v>223</v>
      </c>
      <c r="E12" s="2">
        <v>20</v>
      </c>
    </row>
    <row r="13" spans="1:5">
      <c r="A13" s="1" t="s">
        <v>11</v>
      </c>
      <c r="B13" s="2" t="str">
        <f>IFERROR(VLOOKUP(Tableaumouvement[[#This Row],[Code]],Tableaureference[],2,FALSE),"")</f>
        <v>article 3</v>
      </c>
      <c r="C13" s="2" t="str">
        <f>IFERROR(VLOOKUP(Tableaumouvement[[#This Row],[Code]],Tableaureference[],3,FALSE),"")</f>
        <v>categorie 3</v>
      </c>
      <c r="D13" s="1" t="s">
        <v>223</v>
      </c>
      <c r="E13" s="2">
        <v>15</v>
      </c>
    </row>
    <row r="14" spans="1:5">
      <c r="A14" s="1" t="s">
        <v>12</v>
      </c>
      <c r="B14" s="2" t="str">
        <f>IFERROR(VLOOKUP(Tableaumouvement[[#This Row],[Code]],Tableaureference[],2,FALSE),"")</f>
        <v>article 4</v>
      </c>
      <c r="C14" s="2" t="str">
        <f>IFERROR(VLOOKUP(Tableaumouvement[[#This Row],[Code]],Tableaureference[],3,FALSE),"")</f>
        <v>categorie 4</v>
      </c>
      <c r="D14" s="1" t="s">
        <v>223</v>
      </c>
      <c r="E14" s="2">
        <v>25</v>
      </c>
    </row>
    <row r="15" spans="1:5">
      <c r="A15" s="1" t="s">
        <v>13</v>
      </c>
      <c r="B15" s="2" t="str">
        <f>IFERROR(VLOOKUP(Tableaumouvement[[#This Row],[Code]],Tableaureference[],2,FALSE),"")</f>
        <v>article 5</v>
      </c>
      <c r="C15" s="2" t="str">
        <f>IFERROR(VLOOKUP(Tableaumouvement[[#This Row],[Code]],Tableaureference[],3,FALSE),"")</f>
        <v>categorie 5</v>
      </c>
      <c r="D15" s="1" t="s">
        <v>223</v>
      </c>
      <c r="E15" s="2">
        <v>21</v>
      </c>
    </row>
    <row r="16" spans="1:5">
      <c r="A16" s="1" t="s">
        <v>14</v>
      </c>
      <c r="B16" s="2" t="str">
        <f>IFERROR(VLOOKUP(Tableaumouvement[[#This Row],[Code]],Tableaureference[],2,FALSE),"")</f>
        <v>article 6</v>
      </c>
      <c r="C16" s="2" t="str">
        <f>IFERROR(VLOOKUP(Tableaumouvement[[#This Row],[Code]],Tableaureference[],3,FALSE),"")</f>
        <v>categorie 6</v>
      </c>
      <c r="D16" s="1" t="s">
        <v>223</v>
      </c>
      <c r="E16" s="2">
        <v>37</v>
      </c>
    </row>
    <row r="17" spans="1:5">
      <c r="A17" s="1" t="s">
        <v>15</v>
      </c>
      <c r="B17" s="2" t="str">
        <f>IFERROR(VLOOKUP(Tableaumouvement[[#This Row],[Code]],Tableaureference[],2,FALSE),"")</f>
        <v>article 7</v>
      </c>
      <c r="C17" s="2" t="str">
        <f>IFERROR(VLOOKUP(Tableaumouvement[[#This Row],[Code]],Tableaureference[],3,FALSE),"")</f>
        <v>categorie 7</v>
      </c>
      <c r="D17" s="1" t="s">
        <v>223</v>
      </c>
      <c r="E17" s="2">
        <v>17</v>
      </c>
    </row>
    <row r="18" spans="1:5">
      <c r="A18" s="1" t="s">
        <v>17</v>
      </c>
      <c r="B18" s="2" t="str">
        <f>IFERROR(VLOOKUP(Tableaumouvement[[#This Row],[Code]],Tableaureference[],2,FALSE),"")</f>
        <v>article 9</v>
      </c>
      <c r="C18" s="2" t="str">
        <f>IFERROR(VLOOKUP(Tableaumouvement[[#This Row],[Code]],Tableaureference[],3,FALSE),"")</f>
        <v>categorie 9</v>
      </c>
      <c r="D18" s="1" t="s">
        <v>223</v>
      </c>
      <c r="E18" s="2">
        <v>19</v>
      </c>
    </row>
    <row r="19" spans="1:5">
      <c r="A19" s="1" t="s">
        <v>18</v>
      </c>
      <c r="B19" s="2" t="str">
        <f>IFERROR(VLOOKUP(Tableaumouvement[[#This Row],[Code]],Tableaureference[],2,FALSE),"")</f>
        <v>article 10</v>
      </c>
      <c r="C19" s="2" t="str">
        <f>IFERROR(VLOOKUP(Tableaumouvement[[#This Row],[Code]],Tableaureference[],3,FALSE),"")</f>
        <v>categorie 10</v>
      </c>
      <c r="D19" s="1" t="s">
        <v>223</v>
      </c>
      <c r="E19" s="2">
        <v>27</v>
      </c>
    </row>
    <row r="20" spans="1:5">
      <c r="A20" s="1" t="s">
        <v>21</v>
      </c>
      <c r="B20" s="2" t="str">
        <f>IFERROR(VLOOKUP(Tableaumouvement[[#This Row],[Code]],Tableaureference[],2,FALSE),"")</f>
        <v>article 13</v>
      </c>
      <c r="C20" s="2" t="str">
        <f>IFERROR(VLOOKUP(Tableaumouvement[[#This Row],[Code]],Tableaureference[],3,FALSE),"")</f>
        <v>categorie 3</v>
      </c>
      <c r="D20" s="1" t="s">
        <v>223</v>
      </c>
      <c r="E20" s="2">
        <v>34</v>
      </c>
    </row>
    <row r="21" spans="1:5">
      <c r="A21" s="1" t="s">
        <v>22</v>
      </c>
      <c r="B21" s="2" t="str">
        <f>IFERROR(VLOOKUP(Tableaumouvement[[#This Row],[Code]],Tableaureference[],2,FALSE),"")</f>
        <v>article 14</v>
      </c>
      <c r="C21" s="2" t="str">
        <f>IFERROR(VLOOKUP(Tableaumouvement[[#This Row],[Code]],Tableaureference[],3,FALSE),"")</f>
        <v>categorie 4</v>
      </c>
      <c r="D21" s="1" t="s">
        <v>223</v>
      </c>
      <c r="E21" s="2">
        <v>17</v>
      </c>
    </row>
    <row r="22" spans="1:5">
      <c r="A22" s="1" t="s">
        <v>23</v>
      </c>
      <c r="B22" s="2" t="str">
        <f>IFERROR(VLOOKUP(Tableaumouvement[[#This Row],[Code]],Tableaureference[],2,FALSE),"")</f>
        <v>article 15</v>
      </c>
      <c r="C22" s="2" t="str">
        <f>IFERROR(VLOOKUP(Tableaumouvement[[#This Row],[Code]],Tableaureference[],3,FALSE),"")</f>
        <v>categorie 5</v>
      </c>
      <c r="D22" s="1" t="s">
        <v>223</v>
      </c>
      <c r="E22" s="2">
        <v>19</v>
      </c>
    </row>
    <row r="23" spans="1:5">
      <c r="A23" s="1" t="s">
        <v>108</v>
      </c>
      <c r="B23" s="2" t="str">
        <f>IFERROR(VLOOKUP(Tableaumouvement[[#This Row],[Code]],Tableaureference[],2,FALSE),"")</f>
        <v>article 100</v>
      </c>
      <c r="C23" s="2" t="str">
        <f>IFERROR(VLOOKUP(Tableaumouvement[[#This Row],[Code]],Tableaureference[],3,FALSE),"")</f>
        <v>categorie 10</v>
      </c>
      <c r="D23" s="1" t="s">
        <v>223</v>
      </c>
      <c r="E23" s="2">
        <v>19</v>
      </c>
    </row>
    <row r="24" spans="1:5">
      <c r="A24" s="1" t="s">
        <v>107</v>
      </c>
      <c r="B24" s="2" t="str">
        <f>IFERROR(VLOOKUP(Tableaumouvement[[#This Row],[Code]],Tableaureference[],2,FALSE),"")</f>
        <v>article 99</v>
      </c>
      <c r="C24" s="2" t="str">
        <f>IFERROR(VLOOKUP(Tableaumouvement[[#This Row],[Code]],Tableaureference[],3,FALSE),"")</f>
        <v>categorie 9</v>
      </c>
      <c r="D24" s="1" t="s">
        <v>223</v>
      </c>
      <c r="E24" s="2">
        <v>51</v>
      </c>
    </row>
    <row r="25" spans="1:5">
      <c r="A25" s="1" t="s">
        <v>106</v>
      </c>
      <c r="B25" s="2" t="str">
        <f>IFERROR(VLOOKUP(Tableaumouvement[[#This Row],[Code]],Tableaureference[],2,FALSE),"")</f>
        <v>article 98</v>
      </c>
      <c r="C25" s="2" t="str">
        <f>IFERROR(VLOOKUP(Tableaumouvement[[#This Row],[Code]],Tableaureference[],3,FALSE),"")</f>
        <v>categorie 8</v>
      </c>
      <c r="D25" s="1" t="s">
        <v>223</v>
      </c>
      <c r="E25" s="2">
        <v>13</v>
      </c>
    </row>
    <row r="26" spans="1:5">
      <c r="A26" s="1" t="s">
        <v>97</v>
      </c>
      <c r="B26" s="2" t="str">
        <f>IFERROR(VLOOKUP(Tableaumouvement[[#This Row],[Code]],Tableaureference[],2,FALSE),"")</f>
        <v>article 89</v>
      </c>
      <c r="C26" s="2" t="str">
        <f>IFERROR(VLOOKUP(Tableaumouvement[[#This Row],[Code]],Tableaureference[],3,FALSE),"")</f>
        <v>categorie 9</v>
      </c>
      <c r="D26" s="1" t="s">
        <v>223</v>
      </c>
      <c r="E26" s="2">
        <v>26</v>
      </c>
    </row>
    <row r="27" spans="1:5">
      <c r="A27" s="1" t="s">
        <v>87</v>
      </c>
      <c r="B27" s="2" t="str">
        <f>IFERROR(VLOOKUP(Tableaumouvement[[#This Row],[Code]],Tableaureference[],2,FALSE),"")</f>
        <v>article 79</v>
      </c>
      <c r="C27" s="2" t="str">
        <f>IFERROR(VLOOKUP(Tableaumouvement[[#This Row],[Code]],Tableaureference[],3,FALSE),"")</f>
        <v>categorie 9</v>
      </c>
      <c r="D27" s="1" t="s">
        <v>223</v>
      </c>
      <c r="E27" s="2">
        <v>41</v>
      </c>
    </row>
    <row r="28" spans="1:5">
      <c r="A28" s="1" t="s">
        <v>77</v>
      </c>
      <c r="B28" s="2" t="str">
        <f>IFERROR(VLOOKUP(Tableaumouvement[[#This Row],[Code]],Tableaureference[],2,FALSE),"")</f>
        <v>article 69</v>
      </c>
      <c r="C28" s="2" t="str">
        <f>IFERROR(VLOOKUP(Tableaumouvement[[#This Row],[Code]],Tableaureference[],3,FALSE),"")</f>
        <v>categorie 9</v>
      </c>
      <c r="D28" s="1" t="s">
        <v>223</v>
      </c>
      <c r="E28" s="2">
        <v>53</v>
      </c>
    </row>
    <row r="29" spans="1:5">
      <c r="A29" s="1" t="s">
        <v>67</v>
      </c>
      <c r="B29" s="2" t="str">
        <f>IFERROR(VLOOKUP(Tableaumouvement[[#This Row],[Code]],Tableaureference[],2,FALSE),"")</f>
        <v>article 59</v>
      </c>
      <c r="C29" s="2" t="str">
        <f>IFERROR(VLOOKUP(Tableaumouvement[[#This Row],[Code]],Tableaureference[],3,FALSE),"")</f>
        <v>categorie 9</v>
      </c>
      <c r="D29" s="1" t="s">
        <v>223</v>
      </c>
      <c r="E29" s="2">
        <v>45</v>
      </c>
    </row>
    <row r="30" spans="1:5">
      <c r="A30" s="1" t="s">
        <v>57</v>
      </c>
      <c r="B30" s="2" t="str">
        <f>IFERROR(VLOOKUP(Tableaumouvement[[#This Row],[Code]],Tableaureference[],2,FALSE),"")</f>
        <v>article 49</v>
      </c>
      <c r="C30" s="2" t="str">
        <f>IFERROR(VLOOKUP(Tableaumouvement[[#This Row],[Code]],Tableaureference[],3,FALSE),"")</f>
        <v>categorie 9</v>
      </c>
      <c r="D30" s="1" t="s">
        <v>223</v>
      </c>
      <c r="E30" s="2">
        <v>67</v>
      </c>
    </row>
    <row r="31" spans="1:5">
      <c r="A31" s="1" t="s">
        <v>47</v>
      </c>
      <c r="B31" s="2" t="str">
        <f>IFERROR(VLOOKUP(Tableaumouvement[[#This Row],[Code]],Tableaureference[],2,FALSE),"")</f>
        <v>article 39</v>
      </c>
      <c r="C31" s="2" t="str">
        <f>IFERROR(VLOOKUP(Tableaumouvement[[#This Row],[Code]],Tableaureference[],3,FALSE),"")</f>
        <v>categorie 9</v>
      </c>
      <c r="D31" s="1" t="s">
        <v>223</v>
      </c>
      <c r="E31" s="2">
        <v>63</v>
      </c>
    </row>
    <row r="32" spans="1:5">
      <c r="A32" s="1" t="s">
        <v>37</v>
      </c>
      <c r="B32" s="2" t="str">
        <f>IFERROR(VLOOKUP(Tableaumouvement[[#This Row],[Code]],Tableaureference[],2,FALSE),"")</f>
        <v>article 29</v>
      </c>
      <c r="C32" s="2" t="str">
        <f>IFERROR(VLOOKUP(Tableaumouvement[[#This Row],[Code]],Tableaureference[],3,FALSE),"")</f>
        <v>categorie 9</v>
      </c>
      <c r="D32" s="1" t="s">
        <v>223</v>
      </c>
      <c r="E32" s="2">
        <v>0</v>
      </c>
    </row>
    <row r="33" spans="1:5">
      <c r="A33" s="1" t="s">
        <v>27</v>
      </c>
      <c r="B33" s="2" t="str">
        <f>IFERROR(VLOOKUP(Tableaumouvement[[#This Row],[Code]],Tableaureference[],2,FALSE),"")</f>
        <v>article 19</v>
      </c>
      <c r="C33" s="2" t="str">
        <f>IFERROR(VLOOKUP(Tableaumouvement[[#This Row],[Code]],Tableaureference[],3,FALSE),"")</f>
        <v>categorie 9</v>
      </c>
      <c r="D33" s="1" t="s">
        <v>223</v>
      </c>
      <c r="E33" s="2">
        <v>27</v>
      </c>
    </row>
    <row r="34" spans="1:5">
      <c r="A34" s="1" t="s">
        <v>104</v>
      </c>
      <c r="B34" s="2" t="str">
        <f>IFERROR(VLOOKUP(Tableaumouvement[[#This Row],[Code]],Tableaureference[],2,FALSE),"")</f>
        <v>article 96</v>
      </c>
      <c r="C34" s="2" t="str">
        <f>IFERROR(VLOOKUP(Tableaumouvement[[#This Row],[Code]],Tableaureference[],3,FALSE),"")</f>
        <v>categorie 6</v>
      </c>
      <c r="D34" s="1" t="s">
        <v>223</v>
      </c>
      <c r="E34" s="2">
        <v>45</v>
      </c>
    </row>
    <row r="35" spans="1:5">
      <c r="A35" s="1" t="s">
        <v>94</v>
      </c>
      <c r="B35" s="2" t="str">
        <f>IFERROR(VLOOKUP(Tableaumouvement[[#This Row],[Code]],Tableaureference[],2,FALSE),"")</f>
        <v>article 86</v>
      </c>
      <c r="C35" s="2" t="str">
        <f>IFERROR(VLOOKUP(Tableaumouvement[[#This Row],[Code]],Tableaureference[],3,FALSE),"")</f>
        <v>categorie 6</v>
      </c>
      <c r="D35" s="1" t="s">
        <v>223</v>
      </c>
      <c r="E35" s="2">
        <v>21</v>
      </c>
    </row>
    <row r="36" spans="1:5">
      <c r="A36" s="1" t="s">
        <v>84</v>
      </c>
      <c r="B36" s="2" t="str">
        <f>IFERROR(VLOOKUP(Tableaumouvement[[#This Row],[Code]],Tableaureference[],2,FALSE),"")</f>
        <v>article 76</v>
      </c>
      <c r="C36" s="2" t="str">
        <f>IFERROR(VLOOKUP(Tableaumouvement[[#This Row],[Code]],Tableaureference[],3,FALSE),"")</f>
        <v>categorie 6</v>
      </c>
      <c r="D36" s="1" t="s">
        <v>223</v>
      </c>
      <c r="E36" s="2">
        <v>15</v>
      </c>
    </row>
    <row r="37" spans="1:5">
      <c r="A37" s="1" t="s">
        <v>74</v>
      </c>
      <c r="B37" s="2" t="str">
        <f>IFERROR(VLOOKUP(Tableaumouvement[[#This Row],[Code]],Tableaureference[],2,FALSE),"")</f>
        <v>article 66</v>
      </c>
      <c r="C37" s="2" t="str">
        <f>IFERROR(VLOOKUP(Tableaumouvement[[#This Row],[Code]],Tableaureference[],3,FALSE),"")</f>
        <v>categorie 6</v>
      </c>
      <c r="D37" s="1" t="s">
        <v>223</v>
      </c>
      <c r="E37" s="2">
        <v>19</v>
      </c>
    </row>
    <row r="38" spans="1:5">
      <c r="A38" s="1" t="s">
        <v>64</v>
      </c>
      <c r="B38" s="2" t="str">
        <f>IFERROR(VLOOKUP(Tableaumouvement[[#This Row],[Code]],Tableaureference[],2,FALSE),"")</f>
        <v>article 56</v>
      </c>
      <c r="C38" s="2" t="str">
        <f>IFERROR(VLOOKUP(Tableaumouvement[[#This Row],[Code]],Tableaureference[],3,FALSE),"")</f>
        <v>categorie 6</v>
      </c>
      <c r="D38" s="1" t="s">
        <v>223</v>
      </c>
      <c r="E38" s="2">
        <v>17</v>
      </c>
    </row>
    <row r="39" spans="1:5">
      <c r="A39" s="1" t="s">
        <v>54</v>
      </c>
      <c r="B39" s="2" t="str">
        <f>IFERROR(VLOOKUP(Tableaumouvement[[#This Row],[Code]],Tableaureference[],2,FALSE),"")</f>
        <v>article 46</v>
      </c>
      <c r="C39" s="2" t="str">
        <f>IFERROR(VLOOKUP(Tableaumouvement[[#This Row],[Code]],Tableaureference[],3,FALSE),"")</f>
        <v>categorie 6</v>
      </c>
      <c r="D39" s="1" t="s">
        <v>223</v>
      </c>
      <c r="E39" s="2">
        <v>29</v>
      </c>
    </row>
    <row r="40" spans="1:5">
      <c r="A40" s="1" t="s">
        <v>44</v>
      </c>
      <c r="B40" s="2" t="str">
        <f>IFERROR(VLOOKUP(Tableaumouvement[[#This Row],[Code]],Tableaureference[],2,FALSE),"")</f>
        <v>article 36</v>
      </c>
      <c r="C40" s="2" t="str">
        <f>IFERROR(VLOOKUP(Tableaumouvement[[#This Row],[Code]],Tableaureference[],3,FALSE),"")</f>
        <v>categorie 6</v>
      </c>
      <c r="D40" s="1" t="s">
        <v>223</v>
      </c>
      <c r="E40" s="2">
        <v>29</v>
      </c>
    </row>
    <row r="41" spans="1:5">
      <c r="A41" s="1" t="s">
        <v>34</v>
      </c>
      <c r="B41" s="2" t="str">
        <f>IFERROR(VLOOKUP(Tableaumouvement[[#This Row],[Code]],Tableaureference[],2,FALSE),"")</f>
        <v>article 26</v>
      </c>
      <c r="C41" s="2" t="str">
        <f>IFERROR(VLOOKUP(Tableaumouvement[[#This Row],[Code]],Tableaureference[],3,FALSE),"")</f>
        <v>categorie 6</v>
      </c>
      <c r="D41" s="1" t="s">
        <v>223</v>
      </c>
      <c r="E41" s="2">
        <v>20</v>
      </c>
    </row>
    <row r="42" spans="1:5">
      <c r="A42" s="1" t="s">
        <v>24</v>
      </c>
      <c r="B42" s="2" t="str">
        <f>IFERROR(VLOOKUP(Tableaumouvement[[#This Row],[Code]],Tableaureference[],2,FALSE),"")</f>
        <v>article 16</v>
      </c>
      <c r="C42" s="2" t="str">
        <f>IFERROR(VLOOKUP(Tableaumouvement[[#This Row],[Code]],Tableaureference[],3,FALSE),"")</f>
        <v>categorie 6</v>
      </c>
      <c r="D42" s="1" t="s">
        <v>223</v>
      </c>
      <c r="E42" s="2">
        <v>10</v>
      </c>
    </row>
    <row r="43" spans="1:5">
      <c r="A43" s="1"/>
      <c r="B43" s="2" t="str">
        <f>IFERROR(VLOOKUP(Tableaumouvement[[#This Row],[Code]],Tableaureference[],2,FALSE),"")</f>
        <v/>
      </c>
      <c r="C43" s="2" t="str">
        <f>IFERROR(VLOOKUP(Tableaumouvement[[#This Row],[Code]],Tableaureference[],3,FALSE),"")</f>
        <v/>
      </c>
      <c r="D43" s="1"/>
      <c r="E43" s="2">
        <v>0</v>
      </c>
    </row>
    <row r="44" spans="1:5">
      <c r="A44" s="1"/>
      <c r="B44" s="2" t="str">
        <f>IFERROR(VLOOKUP(Tableaumouvement[[#This Row],[Code]],Tableaureference[],2,FALSE),"")</f>
        <v/>
      </c>
      <c r="C44" s="2" t="str">
        <f>IFERROR(VLOOKUP(Tableaumouvement[[#This Row],[Code]],Tableaureference[],3,FALSE),"")</f>
        <v/>
      </c>
      <c r="D44" s="1"/>
      <c r="E44" s="2">
        <v>0</v>
      </c>
    </row>
    <row r="45" spans="1:5">
      <c r="A45" s="1"/>
      <c r="B45" s="2" t="str">
        <f>IFERROR(VLOOKUP(Tableaumouvement[[#This Row],[Code]],Tableaureference[],2,FALSE),"")</f>
        <v/>
      </c>
      <c r="C45" s="2" t="str">
        <f>IFERROR(VLOOKUP(Tableaumouvement[[#This Row],[Code]],Tableaureference[],3,FALSE),"")</f>
        <v/>
      </c>
      <c r="D45" s="1"/>
      <c r="E45" s="2">
        <v>0</v>
      </c>
    </row>
    <row r="46" spans="1:5">
      <c r="A46" s="1"/>
      <c r="B46" s="2" t="str">
        <f>IFERROR(VLOOKUP(Tableaumouvement[[#This Row],[Code]],Tableaureference[],2,FALSE),"")</f>
        <v/>
      </c>
      <c r="C46" s="2" t="str">
        <f>IFERROR(VLOOKUP(Tableaumouvement[[#This Row],[Code]],Tableaureference[],3,FALSE),"")</f>
        <v/>
      </c>
      <c r="D46" s="1"/>
      <c r="E46" s="2">
        <v>0</v>
      </c>
    </row>
    <row r="47" spans="1:5">
      <c r="A47" s="1"/>
      <c r="B47" s="2" t="str">
        <f>IFERROR(VLOOKUP(Tableaumouvement[[#This Row],[Code]],Tableaureference[],2,FALSE),"")</f>
        <v/>
      </c>
      <c r="C47" s="2" t="str">
        <f>IFERROR(VLOOKUP(Tableaumouvement[[#This Row],[Code]],Tableaureference[],3,FALSE),"")</f>
        <v/>
      </c>
      <c r="D47" s="1"/>
      <c r="E47" s="2">
        <v>0</v>
      </c>
    </row>
    <row r="48" spans="1:5">
      <c r="A48" s="1"/>
      <c r="B48" s="2" t="str">
        <f>IFERROR(VLOOKUP(Tableaumouvement[[#This Row],[Code]],Tableaureference[],2,FALSE),"")</f>
        <v/>
      </c>
      <c r="C48" s="2" t="str">
        <f>IFERROR(VLOOKUP(Tableaumouvement[[#This Row],[Code]],Tableaureference[],3,FALSE),"")</f>
        <v/>
      </c>
      <c r="D48" s="1"/>
      <c r="E48" s="2">
        <v>0</v>
      </c>
    </row>
    <row r="49" spans="1:5">
      <c r="A49" s="1"/>
      <c r="B49" s="2" t="str">
        <f>IFERROR(VLOOKUP(Tableaumouvement[[#This Row],[Code]],Tableaureference[],2,FALSE),"")</f>
        <v/>
      </c>
      <c r="C49" s="2" t="str">
        <f>IFERROR(VLOOKUP(Tableaumouvement[[#This Row],[Code]],Tableaureference[],3,FALSE),"")</f>
        <v/>
      </c>
      <c r="D49" s="1"/>
      <c r="E49" s="2">
        <v>0</v>
      </c>
    </row>
    <row r="50" spans="1:5">
      <c r="A50" s="1"/>
      <c r="B50" s="2" t="str">
        <f>IFERROR(VLOOKUP(Tableaumouvement[[#This Row],[Code]],Tableaureference[],2,FALSE),"")</f>
        <v/>
      </c>
      <c r="C50" s="2" t="str">
        <f>IFERROR(VLOOKUP(Tableaumouvement[[#This Row],[Code]],Tableaureference[],3,FALSE),"")</f>
        <v/>
      </c>
      <c r="D50" s="1"/>
      <c r="E50" s="2">
        <v>0</v>
      </c>
    </row>
    <row r="51" spans="1:5">
      <c r="A51" s="1"/>
      <c r="B51" s="2" t="str">
        <f>IFERROR(VLOOKUP(Tableaumouvement[[#This Row],[Code]],Tableaureference[],2,FALSE),"")</f>
        <v/>
      </c>
      <c r="C51" s="2" t="str">
        <f>IFERROR(VLOOKUP(Tableaumouvement[[#This Row],[Code]],Tableaureference[],3,FALSE),"")</f>
        <v/>
      </c>
      <c r="D51" s="1"/>
      <c r="E51" s="2">
        <v>0</v>
      </c>
    </row>
    <row r="52" spans="1:5">
      <c r="A52" s="1"/>
      <c r="B52" s="2" t="str">
        <f>IFERROR(VLOOKUP(Tableaumouvement[[#This Row],[Code]],Tableaureference[],2,FALSE),"")</f>
        <v/>
      </c>
      <c r="C52" s="2" t="str">
        <f>IFERROR(VLOOKUP(Tableaumouvement[[#This Row],[Code]],Tableaureference[],3,FALSE),"")</f>
        <v/>
      </c>
      <c r="D52" s="1"/>
      <c r="E52" s="2">
        <v>0</v>
      </c>
    </row>
    <row r="53" spans="1:5">
      <c r="A53" s="1"/>
      <c r="B53" s="2" t="str">
        <f>IFERROR(VLOOKUP(Tableaumouvement[[#This Row],[Code]],Tableaureference[],2,FALSE),"")</f>
        <v/>
      </c>
      <c r="C53" s="2" t="str">
        <f>IFERROR(VLOOKUP(Tableaumouvement[[#This Row],[Code]],Tableaureference[],3,FALSE),"")</f>
        <v/>
      </c>
      <c r="D53" s="1"/>
      <c r="E53" s="2">
        <v>0</v>
      </c>
    </row>
    <row r="54" spans="1:5">
      <c r="A54" s="1"/>
      <c r="B54" s="2" t="str">
        <f>IFERROR(VLOOKUP(Tableaumouvement[[#This Row],[Code]],Tableaureference[],2,FALSE),"")</f>
        <v/>
      </c>
      <c r="C54" s="2" t="str">
        <f>IFERROR(VLOOKUP(Tableaumouvement[[#This Row],[Code]],Tableaureference[],3,FALSE),"")</f>
        <v/>
      </c>
      <c r="D54" s="1"/>
      <c r="E54" s="2">
        <v>0</v>
      </c>
    </row>
    <row r="55" spans="1:5">
      <c r="A55" s="1"/>
      <c r="B55" s="2" t="str">
        <f>IFERROR(VLOOKUP(Tableaumouvement[[#This Row],[Code]],Tableaureference[],2,FALSE),"")</f>
        <v/>
      </c>
      <c r="C55" s="2" t="str">
        <f>IFERROR(VLOOKUP(Tableaumouvement[[#This Row],[Code]],Tableaureference[],3,FALSE),"")</f>
        <v/>
      </c>
      <c r="D55" s="1"/>
      <c r="E55" s="2">
        <v>0</v>
      </c>
    </row>
    <row r="56" spans="1:5">
      <c r="A56" s="1"/>
      <c r="B56" s="2" t="str">
        <f>IFERROR(VLOOKUP(Tableaumouvement[[#This Row],[Code]],Tableaureference[],2,FALSE),"")</f>
        <v/>
      </c>
      <c r="C56" s="2" t="str">
        <f>IFERROR(VLOOKUP(Tableaumouvement[[#This Row],[Code]],Tableaureference[],3,FALSE),"")</f>
        <v/>
      </c>
      <c r="D56" s="1"/>
      <c r="E56" s="2">
        <v>0</v>
      </c>
    </row>
    <row r="57" spans="1:5">
      <c r="A57" s="1"/>
      <c r="B57" s="2" t="str">
        <f>IFERROR(VLOOKUP(Tableaumouvement[[#This Row],[Code]],Tableaureference[],2,FALSE),"")</f>
        <v/>
      </c>
      <c r="C57" s="2" t="str">
        <f>IFERROR(VLOOKUP(Tableaumouvement[[#This Row],[Code]],Tableaureference[],3,FALSE),"")</f>
        <v/>
      </c>
      <c r="D57" s="1"/>
      <c r="E57" s="2">
        <v>0</v>
      </c>
    </row>
    <row r="58" spans="1:5">
      <c r="A58" s="1"/>
      <c r="B58" s="2" t="str">
        <f>IFERROR(VLOOKUP(Tableaumouvement[[#This Row],[Code]],Tableaureference[],2,FALSE),"")</f>
        <v/>
      </c>
      <c r="C58" s="2" t="str">
        <f>IFERROR(VLOOKUP(Tableaumouvement[[#This Row],[Code]],Tableaureference[],3,FALSE),"")</f>
        <v/>
      </c>
      <c r="D58" s="1"/>
      <c r="E58" s="2">
        <v>0</v>
      </c>
    </row>
    <row r="59" spans="1:5">
      <c r="A59" s="1"/>
      <c r="B59" s="2" t="str">
        <f>IFERROR(VLOOKUP(Tableaumouvement[[#This Row],[Code]],Tableaureference[],2,FALSE),"")</f>
        <v/>
      </c>
      <c r="C59" s="2" t="str">
        <f>IFERROR(VLOOKUP(Tableaumouvement[[#This Row],[Code]],Tableaureference[],3,FALSE),"")</f>
        <v/>
      </c>
      <c r="D59" s="1"/>
      <c r="E59" s="2">
        <v>0</v>
      </c>
    </row>
    <row r="60" spans="1:5">
      <c r="A60" s="1"/>
      <c r="B60" s="2" t="str">
        <f>IFERROR(VLOOKUP(Tableaumouvement[[#This Row],[Code]],Tableaureference[],2,FALSE),"")</f>
        <v/>
      </c>
      <c r="C60" s="2" t="str">
        <f>IFERROR(VLOOKUP(Tableaumouvement[[#This Row],[Code]],Tableaureference[],3,FALSE),"")</f>
        <v/>
      </c>
      <c r="D60" s="1"/>
      <c r="E60" s="2">
        <v>0</v>
      </c>
    </row>
    <row r="61" spans="1:5">
      <c r="A61" s="1"/>
      <c r="B61" s="2" t="str">
        <f>IFERROR(VLOOKUP(Tableaumouvement[[#This Row],[Code]],Tableaureference[],2,FALSE),"")</f>
        <v/>
      </c>
      <c r="C61" s="2" t="str">
        <f>IFERROR(VLOOKUP(Tableaumouvement[[#This Row],[Code]],Tableaureference[],3,FALSE),"")</f>
        <v/>
      </c>
      <c r="D61" s="1"/>
      <c r="E61" s="2">
        <v>0</v>
      </c>
    </row>
    <row r="62" spans="1:5">
      <c r="A62" s="1"/>
      <c r="B62" s="2" t="str">
        <f>IFERROR(VLOOKUP(Tableaumouvement[[#This Row],[Code]],Tableaureference[],2,FALSE),"")</f>
        <v/>
      </c>
      <c r="C62" s="2" t="str">
        <f>IFERROR(VLOOKUP(Tableaumouvement[[#This Row],[Code]],Tableaureference[],3,FALSE),"")</f>
        <v/>
      </c>
      <c r="D62" s="1"/>
      <c r="E62" s="2">
        <v>0</v>
      </c>
    </row>
    <row r="63" spans="1:5">
      <c r="A63" s="1"/>
      <c r="B63" s="2" t="str">
        <f>IFERROR(VLOOKUP(Tableaumouvement[[#This Row],[Code]],Tableaureference[],2,FALSE),"")</f>
        <v/>
      </c>
      <c r="C63" s="2" t="str">
        <f>IFERROR(VLOOKUP(Tableaumouvement[[#This Row],[Code]],Tableaureference[],3,FALSE),"")</f>
        <v/>
      </c>
      <c r="D63" s="1"/>
      <c r="E63" s="2">
        <v>0</v>
      </c>
    </row>
    <row r="64" spans="1:5">
      <c r="A64" s="1"/>
      <c r="B64" s="2" t="str">
        <f>IFERROR(VLOOKUP(Tableaumouvement[[#This Row],[Code]],Tableaureference[],2,FALSE),"")</f>
        <v/>
      </c>
      <c r="C64" s="2" t="str">
        <f>IFERROR(VLOOKUP(Tableaumouvement[[#This Row],[Code]],Tableaureference[],3,FALSE),"")</f>
        <v/>
      </c>
      <c r="D64" s="1"/>
      <c r="E64" s="2">
        <v>0</v>
      </c>
    </row>
    <row r="65" spans="1:5">
      <c r="A65" s="1"/>
      <c r="B65" s="2" t="str">
        <f>IFERROR(VLOOKUP(Tableaumouvement[[#This Row],[Code]],Tableaureference[],2,FALSE),"")</f>
        <v/>
      </c>
      <c r="C65" s="2" t="str">
        <f>IFERROR(VLOOKUP(Tableaumouvement[[#This Row],[Code]],Tableaureference[],3,FALSE),"")</f>
        <v/>
      </c>
      <c r="D65" s="1"/>
      <c r="E65" s="2">
        <v>0</v>
      </c>
    </row>
    <row r="66" spans="1:5">
      <c r="A66" s="1"/>
      <c r="B66" s="2" t="str">
        <f>IFERROR(VLOOKUP(Tableaumouvement[[#This Row],[Code]],Tableaureference[],2,FALSE),"")</f>
        <v/>
      </c>
      <c r="C66" s="2" t="str">
        <f>IFERROR(VLOOKUP(Tableaumouvement[[#This Row],[Code]],Tableaureference[],3,FALSE),"")</f>
        <v/>
      </c>
      <c r="D66" s="1"/>
      <c r="E66" s="2">
        <v>0</v>
      </c>
    </row>
    <row r="67" spans="1:5">
      <c r="A67" s="1"/>
      <c r="B67" s="2" t="str">
        <f>IFERROR(VLOOKUP(Tableaumouvement[[#This Row],[Code]],Tableaureference[],2,FALSE),"")</f>
        <v/>
      </c>
      <c r="C67" s="2" t="str">
        <f>IFERROR(VLOOKUP(Tableaumouvement[[#This Row],[Code]],Tableaureference[],3,FALSE),"")</f>
        <v/>
      </c>
      <c r="D67" s="1"/>
      <c r="E67" s="2">
        <v>0</v>
      </c>
    </row>
    <row r="68" spans="1:5">
      <c r="A68" s="1"/>
      <c r="B68" s="2" t="str">
        <f>IFERROR(VLOOKUP(Tableaumouvement[[#This Row],[Code]],Tableaureference[],2,FALSE),"")</f>
        <v/>
      </c>
      <c r="C68" s="2" t="str">
        <f>IFERROR(VLOOKUP(Tableaumouvement[[#This Row],[Code]],Tableaureference[],3,FALSE),"")</f>
        <v/>
      </c>
      <c r="D68" s="1"/>
      <c r="E68" s="2">
        <v>0</v>
      </c>
    </row>
    <row r="69" spans="1:5">
      <c r="A69" s="1"/>
      <c r="B69" s="2" t="str">
        <f>IFERROR(VLOOKUP(Tableaumouvement[[#This Row],[Code]],Tableaureference[],2,FALSE),"")</f>
        <v/>
      </c>
      <c r="C69" s="2" t="str">
        <f>IFERROR(VLOOKUP(Tableaumouvement[[#This Row],[Code]],Tableaureference[],3,FALSE),"")</f>
        <v/>
      </c>
      <c r="D69" s="1"/>
      <c r="E69" s="2">
        <v>0</v>
      </c>
    </row>
    <row r="70" spans="1:5">
      <c r="A70" s="1"/>
      <c r="B70" s="2" t="str">
        <f>IFERROR(VLOOKUP(Tableaumouvement[[#This Row],[Code]],Tableaureference[],2,FALSE),"")</f>
        <v/>
      </c>
      <c r="C70" s="2" t="str">
        <f>IFERROR(VLOOKUP(Tableaumouvement[[#This Row],[Code]],Tableaureference[],3,FALSE),"")</f>
        <v/>
      </c>
      <c r="D70" s="1"/>
      <c r="E70" s="2">
        <v>0</v>
      </c>
    </row>
    <row r="71" spans="1:5">
      <c r="A71" s="1"/>
      <c r="B71" s="2" t="str">
        <f>IFERROR(VLOOKUP(Tableaumouvement[[#This Row],[Code]],Tableaureference[],2,FALSE),"")</f>
        <v/>
      </c>
      <c r="C71" s="2" t="str">
        <f>IFERROR(VLOOKUP(Tableaumouvement[[#This Row],[Code]],Tableaureference[],3,FALSE),"")</f>
        <v/>
      </c>
      <c r="D71" s="1"/>
      <c r="E71" s="2">
        <v>0</v>
      </c>
    </row>
    <row r="72" spans="1:5">
      <c r="A72" s="1"/>
      <c r="B72" s="2" t="str">
        <f>IFERROR(VLOOKUP(Tableaumouvement[[#This Row],[Code]],Tableaureference[],2,FALSE),"")</f>
        <v/>
      </c>
      <c r="C72" s="2" t="str">
        <f>IFERROR(VLOOKUP(Tableaumouvement[[#This Row],[Code]],Tableaureference[],3,FALSE),"")</f>
        <v/>
      </c>
      <c r="D72" s="1"/>
      <c r="E72" s="2">
        <v>0</v>
      </c>
    </row>
    <row r="73" spans="1:5">
      <c r="A73" s="1"/>
      <c r="B73" s="2" t="str">
        <f>IFERROR(VLOOKUP(Tableaumouvement[[#This Row],[Code]],Tableaureference[],2,FALSE),"")</f>
        <v/>
      </c>
      <c r="C73" s="2" t="str">
        <f>IFERROR(VLOOKUP(Tableaumouvement[[#This Row],[Code]],Tableaureference[],3,FALSE),"")</f>
        <v/>
      </c>
      <c r="D73" s="1"/>
      <c r="E73" s="2">
        <v>0</v>
      </c>
    </row>
    <row r="74" spans="1:5">
      <c r="A74" s="1"/>
      <c r="B74" s="2" t="str">
        <f>IFERROR(VLOOKUP(Tableaumouvement[[#This Row],[Code]],Tableaureference[],2,FALSE),"")</f>
        <v/>
      </c>
      <c r="C74" s="2" t="str">
        <f>IFERROR(VLOOKUP(Tableaumouvement[[#This Row],[Code]],Tableaureference[],3,FALSE),"")</f>
        <v/>
      </c>
      <c r="D74" s="1"/>
      <c r="E74" s="2">
        <v>0</v>
      </c>
    </row>
    <row r="75" spans="1:5">
      <c r="A75" s="1"/>
      <c r="B75" s="2" t="str">
        <f>IFERROR(VLOOKUP(Tableaumouvement[[#This Row],[Code]],Tableaureference[],2,FALSE),"")</f>
        <v/>
      </c>
      <c r="C75" s="2" t="str">
        <f>IFERROR(VLOOKUP(Tableaumouvement[[#This Row],[Code]],Tableaureference[],3,FALSE),"")</f>
        <v/>
      </c>
      <c r="D75" s="1"/>
      <c r="E75" s="2">
        <v>0</v>
      </c>
    </row>
    <row r="76" spans="1:5">
      <c r="A76" s="1"/>
      <c r="B76" s="2" t="str">
        <f>IFERROR(VLOOKUP(Tableaumouvement[[#This Row],[Code]],Tableaureference[],2,FALSE),"")</f>
        <v/>
      </c>
      <c r="C76" s="2" t="str">
        <f>IFERROR(VLOOKUP(Tableaumouvement[[#This Row],[Code]],Tableaureference[],3,FALSE),"")</f>
        <v/>
      </c>
      <c r="D76" s="1"/>
      <c r="E76" s="2">
        <v>0</v>
      </c>
    </row>
    <row r="77" spans="1:5">
      <c r="A77" s="1"/>
      <c r="B77" s="2" t="str">
        <f>IFERROR(VLOOKUP(Tableaumouvement[[#This Row],[Code]],Tableaureference[],2,FALSE),"")</f>
        <v/>
      </c>
      <c r="C77" s="2" t="str">
        <f>IFERROR(VLOOKUP(Tableaumouvement[[#This Row],[Code]],Tableaureference[],3,FALSE),"")</f>
        <v/>
      </c>
      <c r="D77" s="1"/>
      <c r="E77" s="2">
        <v>0</v>
      </c>
    </row>
    <row r="78" spans="1:5">
      <c r="A78" s="1"/>
      <c r="B78" s="2" t="str">
        <f>IFERROR(VLOOKUP(Tableaumouvement[[#This Row],[Code]],Tableaureference[],2,FALSE),"")</f>
        <v/>
      </c>
      <c r="C78" s="2" t="str">
        <f>IFERROR(VLOOKUP(Tableaumouvement[[#This Row],[Code]],Tableaureference[],3,FALSE),"")</f>
        <v/>
      </c>
      <c r="D78" s="1"/>
      <c r="E78" s="2">
        <v>0</v>
      </c>
    </row>
    <row r="79" spans="1:5">
      <c r="A79" s="1"/>
      <c r="B79" s="2" t="str">
        <f>IFERROR(VLOOKUP(Tableaumouvement[[#This Row],[Code]],Tableaureference[],2,FALSE),"")</f>
        <v/>
      </c>
      <c r="C79" s="2" t="str">
        <f>IFERROR(VLOOKUP(Tableaumouvement[[#This Row],[Code]],Tableaureference[],3,FALSE),"")</f>
        <v/>
      </c>
      <c r="D79" s="1"/>
      <c r="E79" s="2">
        <v>0</v>
      </c>
    </row>
    <row r="80" spans="1:5">
      <c r="A80" s="1"/>
      <c r="B80" s="2" t="str">
        <f>IFERROR(VLOOKUP(Tableaumouvement[[#This Row],[Code]],Tableaureference[],2,FALSE),"")</f>
        <v/>
      </c>
      <c r="C80" s="2" t="str">
        <f>IFERROR(VLOOKUP(Tableaumouvement[[#This Row],[Code]],Tableaureference[],3,FALSE),"")</f>
        <v/>
      </c>
      <c r="D80" s="1"/>
      <c r="E80" s="2">
        <v>0</v>
      </c>
    </row>
    <row r="81" spans="1:5">
      <c r="A81" s="1"/>
      <c r="B81" s="2" t="str">
        <f>IFERROR(VLOOKUP(Tableaumouvement[[#This Row],[Code]],Tableaureference[],2,FALSE),"")</f>
        <v/>
      </c>
      <c r="C81" s="2" t="str">
        <f>IFERROR(VLOOKUP(Tableaumouvement[[#This Row],[Code]],Tableaureference[],3,FALSE),"")</f>
        <v/>
      </c>
      <c r="D81" s="1"/>
      <c r="E81" s="2">
        <v>0</v>
      </c>
    </row>
    <row r="82" spans="1:5">
      <c r="A82" s="1"/>
      <c r="B82" s="2" t="str">
        <f>IFERROR(VLOOKUP(Tableaumouvement[[#This Row],[Code]],Tableaureference[],2,FALSE),"")</f>
        <v/>
      </c>
      <c r="C82" s="2" t="str">
        <f>IFERROR(VLOOKUP(Tableaumouvement[[#This Row],[Code]],Tableaureference[],3,FALSE),"")</f>
        <v/>
      </c>
      <c r="D82" s="1"/>
      <c r="E82" s="2">
        <v>0</v>
      </c>
    </row>
    <row r="83" spans="1:5">
      <c r="A83" s="1"/>
      <c r="B83" s="2" t="str">
        <f>IFERROR(VLOOKUP(Tableaumouvement[[#This Row],[Code]],Tableaureference[],2,FALSE),"")</f>
        <v/>
      </c>
      <c r="C83" s="2" t="str">
        <f>IFERROR(VLOOKUP(Tableaumouvement[[#This Row],[Code]],Tableaureference[],3,FALSE),"")</f>
        <v/>
      </c>
      <c r="D83" s="1"/>
      <c r="E83" s="2">
        <v>0</v>
      </c>
    </row>
    <row r="84" spans="1:5">
      <c r="A84" s="1"/>
      <c r="B84" s="2" t="str">
        <f>IFERROR(VLOOKUP(Tableaumouvement[[#This Row],[Code]],Tableaureference[],2,FALSE),"")</f>
        <v/>
      </c>
      <c r="C84" s="2" t="str">
        <f>IFERROR(VLOOKUP(Tableaumouvement[[#This Row],[Code]],Tableaureference[],3,FALSE),"")</f>
        <v/>
      </c>
      <c r="D84" s="1"/>
      <c r="E84" s="2">
        <v>0</v>
      </c>
    </row>
    <row r="85" spans="1:5">
      <c r="A85" s="1"/>
      <c r="B85" s="2" t="str">
        <f>IFERROR(VLOOKUP(Tableaumouvement[[#This Row],[Code]],Tableaureference[],2,FALSE),"")</f>
        <v/>
      </c>
      <c r="C85" s="2" t="str">
        <f>IFERROR(VLOOKUP(Tableaumouvement[[#This Row],[Code]],Tableaureference[],3,FALSE),"")</f>
        <v/>
      </c>
      <c r="D85" s="1"/>
      <c r="E85" s="2">
        <v>0</v>
      </c>
    </row>
    <row r="86" spans="1:5">
      <c r="A86" s="1"/>
      <c r="B86" s="2" t="str">
        <f>IFERROR(VLOOKUP(Tableaumouvement[[#This Row],[Code]],Tableaureference[],2,FALSE),"")</f>
        <v/>
      </c>
      <c r="C86" s="2" t="str">
        <f>IFERROR(VLOOKUP(Tableaumouvement[[#This Row],[Code]],Tableaureference[],3,FALSE),"")</f>
        <v/>
      </c>
      <c r="D86" s="1"/>
      <c r="E86" s="2">
        <v>0</v>
      </c>
    </row>
    <row r="87" spans="1:5">
      <c r="A87" s="1"/>
      <c r="B87" s="2" t="str">
        <f>IFERROR(VLOOKUP(Tableaumouvement[[#This Row],[Code]],Tableaureference[],2,FALSE),"")</f>
        <v/>
      </c>
      <c r="C87" s="2" t="str">
        <f>IFERROR(VLOOKUP(Tableaumouvement[[#This Row],[Code]],Tableaureference[],3,FALSE),"")</f>
        <v/>
      </c>
      <c r="D87" s="1"/>
      <c r="E87" s="2">
        <v>0</v>
      </c>
    </row>
    <row r="88" spans="1:5">
      <c r="A88" s="1"/>
      <c r="B88" s="2" t="str">
        <f>IFERROR(VLOOKUP(Tableaumouvement[[#This Row],[Code]],Tableaureference[],2,FALSE),"")</f>
        <v/>
      </c>
      <c r="C88" s="2" t="str">
        <f>IFERROR(VLOOKUP(Tableaumouvement[[#This Row],[Code]],Tableaureference[],3,FALSE),"")</f>
        <v/>
      </c>
      <c r="D88" s="1"/>
      <c r="E88" s="2">
        <v>0</v>
      </c>
    </row>
    <row r="89" spans="1:5">
      <c r="A89" s="1"/>
      <c r="B89" s="2" t="str">
        <f>IFERROR(VLOOKUP(Tableaumouvement[[#This Row],[Code]],Tableaureference[],2,FALSE),"")</f>
        <v/>
      </c>
      <c r="C89" s="2" t="str">
        <f>IFERROR(VLOOKUP(Tableaumouvement[[#This Row],[Code]],Tableaureference[],3,FALSE),"")</f>
        <v/>
      </c>
      <c r="D89" s="1"/>
      <c r="E89" s="2">
        <v>0</v>
      </c>
    </row>
    <row r="90" spans="1:5">
      <c r="A90" s="1"/>
      <c r="B90" s="2" t="str">
        <f>IFERROR(VLOOKUP(Tableaumouvement[[#This Row],[Code]],Tableaureference[],2,FALSE),"")</f>
        <v/>
      </c>
      <c r="C90" s="2" t="str">
        <f>IFERROR(VLOOKUP(Tableaumouvement[[#This Row],[Code]],Tableaureference[],3,FALSE),"")</f>
        <v/>
      </c>
      <c r="D90" s="1"/>
      <c r="E90" s="2">
        <v>0</v>
      </c>
    </row>
    <row r="91" spans="1:5">
      <c r="A91" s="1"/>
      <c r="B91" s="2" t="str">
        <f>IFERROR(VLOOKUP(Tableaumouvement[[#This Row],[Code]],Tableaureference[],2,FALSE),"")</f>
        <v/>
      </c>
      <c r="C91" s="2" t="str">
        <f>IFERROR(VLOOKUP(Tableaumouvement[[#This Row],[Code]],Tableaureference[],3,FALSE),"")</f>
        <v/>
      </c>
      <c r="D91" s="1"/>
      <c r="E91" s="2">
        <v>0</v>
      </c>
    </row>
    <row r="92" spans="1:5">
      <c r="A92" s="1"/>
      <c r="B92" s="2" t="str">
        <f>IFERROR(VLOOKUP(Tableaumouvement[[#This Row],[Code]],Tableaureference[],2,FALSE),"")</f>
        <v/>
      </c>
      <c r="C92" s="2" t="str">
        <f>IFERROR(VLOOKUP(Tableaumouvement[[#This Row],[Code]],Tableaureference[],3,FALSE),"")</f>
        <v/>
      </c>
      <c r="D92" s="1"/>
      <c r="E92" s="2">
        <v>0</v>
      </c>
    </row>
    <row r="93" spans="1:5">
      <c r="A93" s="1"/>
      <c r="B93" s="2" t="str">
        <f>IFERROR(VLOOKUP(Tableaumouvement[[#This Row],[Code]],Tableaureference[],2,FALSE),"")</f>
        <v/>
      </c>
      <c r="C93" s="2" t="str">
        <f>IFERROR(VLOOKUP(Tableaumouvement[[#This Row],[Code]],Tableaureference[],3,FALSE),"")</f>
        <v/>
      </c>
      <c r="D93" s="1"/>
      <c r="E93" s="2">
        <v>0</v>
      </c>
    </row>
    <row r="94" spans="1:5">
      <c r="A94" s="1"/>
      <c r="B94" s="2" t="str">
        <f>IFERROR(VLOOKUP(Tableaumouvement[[#This Row],[Code]],Tableaureference[],2,FALSE),"")</f>
        <v/>
      </c>
      <c r="C94" s="2" t="str">
        <f>IFERROR(VLOOKUP(Tableaumouvement[[#This Row],[Code]],Tableaureference[],3,FALSE),"")</f>
        <v/>
      </c>
      <c r="D94" s="1"/>
      <c r="E94" s="2">
        <v>0</v>
      </c>
    </row>
    <row r="95" spans="1:5">
      <c r="A95" s="1"/>
      <c r="B95" s="2" t="str">
        <f>IFERROR(VLOOKUP(Tableaumouvement[[#This Row],[Code]],Tableaureference[],2,FALSE),"")</f>
        <v/>
      </c>
      <c r="C95" s="2" t="str">
        <f>IFERROR(VLOOKUP(Tableaumouvement[[#This Row],[Code]],Tableaureference[],3,FALSE),"")</f>
        <v/>
      </c>
      <c r="D95" s="1"/>
      <c r="E95" s="2">
        <v>0</v>
      </c>
    </row>
    <row r="96" spans="1:5">
      <c r="A96" s="1"/>
      <c r="B96" s="2" t="str">
        <f>IFERROR(VLOOKUP(Tableaumouvement[[#This Row],[Code]],Tableaureference[],2,FALSE),"")</f>
        <v/>
      </c>
      <c r="C96" s="2" t="str">
        <f>IFERROR(VLOOKUP(Tableaumouvement[[#This Row],[Code]],Tableaureference[],3,FALSE),"")</f>
        <v/>
      </c>
      <c r="D96" s="1"/>
      <c r="E96" s="2">
        <v>0</v>
      </c>
    </row>
    <row r="97" spans="1:5">
      <c r="A97" s="1"/>
      <c r="B97" s="2" t="str">
        <f>IFERROR(VLOOKUP(Tableaumouvement[[#This Row],[Code]],Tableaureference[],2,FALSE),"")</f>
        <v/>
      </c>
      <c r="C97" s="2" t="str">
        <f>IFERROR(VLOOKUP(Tableaumouvement[[#This Row],[Code]],Tableaureference[],3,FALSE),"")</f>
        <v/>
      </c>
      <c r="D97" s="1"/>
      <c r="E97" s="2">
        <v>0</v>
      </c>
    </row>
    <row r="98" spans="1:5">
      <c r="A98" s="1"/>
      <c r="B98" s="2" t="str">
        <f>IFERROR(VLOOKUP(Tableaumouvement[[#This Row],[Code]],Tableaureference[],2,FALSE),"")</f>
        <v/>
      </c>
      <c r="C98" s="2" t="str">
        <f>IFERROR(VLOOKUP(Tableaumouvement[[#This Row],[Code]],Tableaureference[],3,FALSE),"")</f>
        <v/>
      </c>
      <c r="D98" s="1"/>
      <c r="E98" s="2">
        <v>0</v>
      </c>
    </row>
    <row r="99" spans="1:5">
      <c r="A99" s="1"/>
      <c r="B99" s="2" t="str">
        <f>IFERROR(VLOOKUP(Tableaumouvement[[#This Row],[Code]],Tableaureference[],2,FALSE),"")</f>
        <v/>
      </c>
      <c r="C99" s="2" t="str">
        <f>IFERROR(VLOOKUP(Tableaumouvement[[#This Row],[Code]],Tableaureference[],3,FALSE),"")</f>
        <v/>
      </c>
      <c r="D99" s="1"/>
      <c r="E99" s="2">
        <v>0</v>
      </c>
    </row>
    <row r="100" spans="1:5">
      <c r="A100" s="1"/>
      <c r="B100" s="2" t="str">
        <f>IFERROR(VLOOKUP(Tableaumouvement[[#This Row],[Code]],Tableaureference[],2,FALSE),"")</f>
        <v/>
      </c>
      <c r="C100" s="2" t="str">
        <f>IFERROR(VLOOKUP(Tableaumouvement[[#This Row],[Code]],Tableaureference[],3,FALSE),"")</f>
        <v/>
      </c>
      <c r="D100" s="1"/>
      <c r="E100" s="2">
        <v>0</v>
      </c>
    </row>
    <row r="101" spans="1:5">
      <c r="A101" s="1"/>
      <c r="B101" s="2" t="str">
        <f>IFERROR(VLOOKUP(Tableaumouvement[[#This Row],[Code]],Tableaureference[],2,FALSE),"")</f>
        <v/>
      </c>
      <c r="C101" s="2" t="str">
        <f>IFERROR(VLOOKUP(Tableaumouvement[[#This Row],[Code]],Tableaureference[],3,FALSE),"")</f>
        <v/>
      </c>
      <c r="D101" s="1"/>
      <c r="E101" s="2">
        <v>0</v>
      </c>
    </row>
    <row r="102" spans="1:5">
      <c r="A102" s="1"/>
      <c r="B102" s="2" t="str">
        <f>IFERROR(VLOOKUP(Tableaumouvement[[#This Row],[Code]],Tableaureference[],2,FALSE),"")</f>
        <v/>
      </c>
      <c r="C102" s="2" t="str">
        <f>IFERROR(VLOOKUP(Tableaumouvement[[#This Row],[Code]],Tableaureference[],3,FALSE),"")</f>
        <v/>
      </c>
      <c r="D102" s="1"/>
      <c r="E102" s="2">
        <v>0</v>
      </c>
    </row>
    <row r="103" spans="1:5">
      <c r="A103" s="1"/>
      <c r="B103" s="2" t="str">
        <f>IFERROR(VLOOKUP(Tableaumouvement[[#This Row],[Code]],Tableaureference[],2,FALSE),"")</f>
        <v/>
      </c>
      <c r="C103" s="2" t="str">
        <f>IFERROR(VLOOKUP(Tableaumouvement[[#This Row],[Code]],Tableaureference[],3,FALSE),"")</f>
        <v/>
      </c>
      <c r="D103" s="1"/>
      <c r="E103" s="2">
        <v>0</v>
      </c>
    </row>
    <row r="104" spans="1:5">
      <c r="A104" s="1"/>
      <c r="B104" s="2" t="str">
        <f>IFERROR(VLOOKUP(Tableaumouvement[[#This Row],[Code]],Tableaureference[],2,FALSE),"")</f>
        <v/>
      </c>
      <c r="C104" s="2" t="str">
        <f>IFERROR(VLOOKUP(Tableaumouvement[[#This Row],[Code]],Tableaureference[],3,FALSE),"")</f>
        <v/>
      </c>
      <c r="D104" s="1"/>
      <c r="E104" s="2">
        <v>0</v>
      </c>
    </row>
    <row r="105" spans="1:5">
      <c r="A105" s="1"/>
      <c r="B105" s="2" t="str">
        <f>IFERROR(VLOOKUP(Tableaumouvement[[#This Row],[Code]],Tableaureference[],2,FALSE),"")</f>
        <v/>
      </c>
      <c r="C105" s="2" t="str">
        <f>IFERROR(VLOOKUP(Tableaumouvement[[#This Row],[Code]],Tableaureference[],3,FALSE),"")</f>
        <v/>
      </c>
      <c r="D105" s="1"/>
      <c r="E105" s="2">
        <v>0</v>
      </c>
    </row>
    <row r="106" spans="1:5">
      <c r="A106" s="1"/>
      <c r="B106" s="2" t="str">
        <f>IFERROR(VLOOKUP(Tableaumouvement[[#This Row],[Code]],Tableaureference[],2,FALSE),"")</f>
        <v/>
      </c>
      <c r="C106" s="2" t="str">
        <f>IFERROR(VLOOKUP(Tableaumouvement[[#This Row],[Code]],Tableaureference[],3,FALSE),"")</f>
        <v/>
      </c>
      <c r="D106" s="1"/>
      <c r="E106" s="2">
        <v>0</v>
      </c>
    </row>
    <row r="107" spans="1:5">
      <c r="A107" s="1"/>
      <c r="B107" s="2" t="str">
        <f>IFERROR(VLOOKUP(Tableaumouvement[[#This Row],[Code]],Tableaureference[],2,FALSE),"")</f>
        <v/>
      </c>
      <c r="C107" s="2" t="str">
        <f>IFERROR(VLOOKUP(Tableaumouvement[[#This Row],[Code]],Tableaureference[],3,FALSE),"")</f>
        <v/>
      </c>
      <c r="D107" s="1"/>
      <c r="E107" s="2">
        <v>0</v>
      </c>
    </row>
    <row r="108" spans="1:5">
      <c r="A108" s="1"/>
      <c r="B108" s="2" t="str">
        <f>IFERROR(VLOOKUP(Tableaumouvement[[#This Row],[Code]],Tableaureference[],2,FALSE),"")</f>
        <v/>
      </c>
      <c r="C108" s="2" t="str">
        <f>IFERROR(VLOOKUP(Tableaumouvement[[#This Row],[Code]],Tableaureference[],3,FALSE),"")</f>
        <v/>
      </c>
      <c r="D108" s="1"/>
      <c r="E108" s="2">
        <v>0</v>
      </c>
    </row>
    <row r="109" spans="1:5">
      <c r="A109" s="1"/>
      <c r="B109" s="2" t="str">
        <f>IFERROR(VLOOKUP(Tableaumouvement[[#This Row],[Code]],Tableaureference[],2,FALSE),"")</f>
        <v/>
      </c>
      <c r="C109" s="2" t="str">
        <f>IFERROR(VLOOKUP(Tableaumouvement[[#This Row],[Code]],Tableaureference[],3,FALSE),"")</f>
        <v/>
      </c>
      <c r="D109" s="1"/>
      <c r="E109" s="2">
        <v>0</v>
      </c>
    </row>
    <row r="110" spans="1:5">
      <c r="A110" s="1"/>
      <c r="B110" s="2" t="str">
        <f>IFERROR(VLOOKUP(Tableaumouvement[[#This Row],[Code]],Tableaureference[],2,FALSE),"")</f>
        <v/>
      </c>
      <c r="C110" s="2" t="str">
        <f>IFERROR(VLOOKUP(Tableaumouvement[[#This Row],[Code]],Tableaureference[],3,FALSE),"")</f>
        <v/>
      </c>
      <c r="D110" s="1"/>
      <c r="E110" s="2">
        <v>0</v>
      </c>
    </row>
    <row r="111" spans="1:5">
      <c r="A111" s="1"/>
      <c r="B111" s="2" t="str">
        <f>IFERROR(VLOOKUP(Tableaumouvement[[#This Row],[Code]],Tableaureference[],2,FALSE),"")</f>
        <v/>
      </c>
      <c r="C111" s="2" t="str">
        <f>IFERROR(VLOOKUP(Tableaumouvement[[#This Row],[Code]],Tableaureference[],3,FALSE),"")</f>
        <v/>
      </c>
      <c r="D111" s="1"/>
      <c r="E111" s="2">
        <v>0</v>
      </c>
    </row>
    <row r="112" spans="1:5">
      <c r="A112" s="1"/>
      <c r="B112" s="2" t="str">
        <f>IFERROR(VLOOKUP(Tableaumouvement[[#This Row],[Code]],Tableaureference[],2,FALSE),"")</f>
        <v/>
      </c>
      <c r="C112" s="2" t="str">
        <f>IFERROR(VLOOKUP(Tableaumouvement[[#This Row],[Code]],Tableaureference[],3,FALSE),"")</f>
        <v/>
      </c>
      <c r="D112" s="1"/>
      <c r="E112" s="2">
        <v>0</v>
      </c>
    </row>
    <row r="113" spans="1:5">
      <c r="A113" s="1"/>
      <c r="B113" s="2" t="str">
        <f>IFERROR(VLOOKUP(Tableaumouvement[[#This Row],[Code]],Tableaureference[],2,FALSE),"")</f>
        <v/>
      </c>
      <c r="C113" s="2" t="str">
        <f>IFERROR(VLOOKUP(Tableaumouvement[[#This Row],[Code]],Tableaureference[],3,FALSE),"")</f>
        <v/>
      </c>
      <c r="D113" s="1"/>
      <c r="E113" s="2">
        <v>0</v>
      </c>
    </row>
    <row r="114" spans="1:5">
      <c r="A114" s="1"/>
      <c r="B114" s="2" t="str">
        <f>IFERROR(VLOOKUP(Tableaumouvement[[#This Row],[Code]],Tableaureference[],2,FALSE),"")</f>
        <v/>
      </c>
      <c r="C114" s="2" t="str">
        <f>IFERROR(VLOOKUP(Tableaumouvement[[#This Row],[Code]],Tableaureference[],3,FALSE),"")</f>
        <v/>
      </c>
      <c r="D114" s="1"/>
      <c r="E114" s="2">
        <v>0</v>
      </c>
    </row>
    <row r="115" spans="1:5">
      <c r="A115" s="1"/>
      <c r="B115" s="2" t="str">
        <f>IFERROR(VLOOKUP(Tableaumouvement[[#This Row],[Code]],Tableaureference[],2,FALSE),"")</f>
        <v/>
      </c>
      <c r="C115" s="2" t="str">
        <f>IFERROR(VLOOKUP(Tableaumouvement[[#This Row],[Code]],Tableaureference[],3,FALSE),"")</f>
        <v/>
      </c>
      <c r="D115" s="1"/>
      <c r="E115" s="2">
        <v>0</v>
      </c>
    </row>
    <row r="116" spans="1:5">
      <c r="A116" s="1"/>
      <c r="B116" s="2" t="str">
        <f>IFERROR(VLOOKUP(Tableaumouvement[[#This Row],[Code]],Tableaureference[],2,FALSE),"")</f>
        <v/>
      </c>
      <c r="C116" s="2" t="str">
        <f>IFERROR(VLOOKUP(Tableaumouvement[[#This Row],[Code]],Tableaureference[],3,FALSE),"")</f>
        <v/>
      </c>
      <c r="D116" s="1"/>
      <c r="E116" s="2">
        <v>0</v>
      </c>
    </row>
    <row r="117" spans="1:5">
      <c r="A117" s="1"/>
      <c r="B117" s="2" t="str">
        <f>IFERROR(VLOOKUP(Tableaumouvement[[#This Row],[Code]],Tableaureference[],2,FALSE),"")</f>
        <v/>
      </c>
      <c r="C117" s="2" t="str">
        <f>IFERROR(VLOOKUP(Tableaumouvement[[#This Row],[Code]],Tableaureference[],3,FALSE),"")</f>
        <v/>
      </c>
      <c r="D117" s="1"/>
      <c r="E117" s="2">
        <v>0</v>
      </c>
    </row>
    <row r="118" spans="1:5">
      <c r="A118" s="1"/>
      <c r="B118" s="2" t="str">
        <f>IFERROR(VLOOKUP(Tableaumouvement[[#This Row],[Code]],Tableaureference[],2,FALSE),"")</f>
        <v/>
      </c>
      <c r="C118" s="2" t="str">
        <f>IFERROR(VLOOKUP(Tableaumouvement[[#This Row],[Code]],Tableaureference[],3,FALSE),"")</f>
        <v/>
      </c>
      <c r="D118" s="1"/>
      <c r="E118" s="2">
        <v>0</v>
      </c>
    </row>
    <row r="119" spans="1:5">
      <c r="A119" s="1"/>
      <c r="B119" s="2" t="str">
        <f>IFERROR(VLOOKUP(Tableaumouvement[[#This Row],[Code]],Tableaureference[],2,FALSE),"")</f>
        <v/>
      </c>
      <c r="C119" s="2" t="str">
        <f>IFERROR(VLOOKUP(Tableaumouvement[[#This Row],[Code]],Tableaureference[],3,FALSE),"")</f>
        <v/>
      </c>
      <c r="D119" s="1"/>
      <c r="E119" s="2">
        <v>0</v>
      </c>
    </row>
    <row r="120" spans="1:5">
      <c r="A120" s="1"/>
      <c r="B120" s="2" t="str">
        <f>IFERROR(VLOOKUP(Tableaumouvement[[#This Row],[Code]],Tableaureference[],2,FALSE),"")</f>
        <v/>
      </c>
      <c r="C120" s="2" t="str">
        <f>IFERROR(VLOOKUP(Tableaumouvement[[#This Row],[Code]],Tableaureference[],3,FALSE),"")</f>
        <v/>
      </c>
      <c r="D120" s="1"/>
      <c r="E120" s="2">
        <v>0</v>
      </c>
    </row>
    <row r="121" spans="1:5">
      <c r="A121" s="1"/>
      <c r="B121" s="2" t="str">
        <f>IFERROR(VLOOKUP(Tableaumouvement[[#This Row],[Code]],Tableaureference[],2,FALSE),"")</f>
        <v/>
      </c>
      <c r="C121" s="2" t="str">
        <f>IFERROR(VLOOKUP(Tableaumouvement[[#This Row],[Code]],Tableaureference[],3,FALSE),"")</f>
        <v/>
      </c>
      <c r="D121" s="1"/>
      <c r="E121" s="2">
        <v>0</v>
      </c>
    </row>
    <row r="122" spans="1:5">
      <c r="A122" s="1"/>
      <c r="B122" s="2" t="str">
        <f>IFERROR(VLOOKUP(Tableaumouvement[[#This Row],[Code]],Tableaureference[],2,FALSE),"")</f>
        <v/>
      </c>
      <c r="C122" s="2" t="str">
        <f>IFERROR(VLOOKUP(Tableaumouvement[[#This Row],[Code]],Tableaureference[],3,FALSE),"")</f>
        <v/>
      </c>
      <c r="D122" s="1"/>
      <c r="E122" s="2">
        <v>0</v>
      </c>
    </row>
    <row r="123" spans="1:5">
      <c r="A123" s="1"/>
      <c r="B123" s="2" t="str">
        <f>IFERROR(VLOOKUP(Tableaumouvement[[#This Row],[Code]],Tableaureference[],2,FALSE),"")</f>
        <v/>
      </c>
      <c r="C123" s="2" t="str">
        <f>IFERROR(VLOOKUP(Tableaumouvement[[#This Row],[Code]],Tableaureference[],3,FALSE),"")</f>
        <v/>
      </c>
      <c r="D123" s="1"/>
      <c r="E123" s="2">
        <v>0</v>
      </c>
    </row>
    <row r="124" spans="1:5">
      <c r="A124" s="1"/>
      <c r="B124" s="2" t="str">
        <f>IFERROR(VLOOKUP(Tableaumouvement[[#This Row],[Code]],Tableaureference[],2,FALSE),"")</f>
        <v/>
      </c>
      <c r="C124" s="2" t="str">
        <f>IFERROR(VLOOKUP(Tableaumouvement[[#This Row],[Code]],Tableaureference[],3,FALSE),"")</f>
        <v/>
      </c>
      <c r="D124" s="1"/>
      <c r="E124" s="2">
        <v>0</v>
      </c>
    </row>
    <row r="125" spans="1:5">
      <c r="A125" s="1"/>
      <c r="B125" s="2" t="str">
        <f>IFERROR(VLOOKUP(Tableaumouvement[[#This Row],[Code]],Tableaureference[],2,FALSE),"")</f>
        <v/>
      </c>
      <c r="C125" s="2" t="str">
        <f>IFERROR(VLOOKUP(Tableaumouvement[[#This Row],[Code]],Tableaureference[],3,FALSE),"")</f>
        <v/>
      </c>
      <c r="D125" s="1"/>
      <c r="E125" s="2">
        <v>0</v>
      </c>
    </row>
    <row r="126" spans="1:5">
      <c r="A126" s="1"/>
      <c r="B126" s="2" t="str">
        <f>IFERROR(VLOOKUP(Tableaumouvement[[#This Row],[Code]],Tableaureference[],2,FALSE),"")</f>
        <v/>
      </c>
      <c r="C126" s="2" t="str">
        <f>IFERROR(VLOOKUP(Tableaumouvement[[#This Row],[Code]],Tableaureference[],3,FALSE),"")</f>
        <v/>
      </c>
      <c r="D126" s="1"/>
      <c r="E126" s="2">
        <v>0</v>
      </c>
    </row>
    <row r="127" spans="1:5">
      <c r="A127" s="1"/>
      <c r="B127" s="2" t="str">
        <f>IFERROR(VLOOKUP(Tableaumouvement[[#This Row],[Code]],Tableaureference[],2,FALSE),"")</f>
        <v/>
      </c>
      <c r="C127" s="2" t="str">
        <f>IFERROR(VLOOKUP(Tableaumouvement[[#This Row],[Code]],Tableaureference[],3,FALSE),"")</f>
        <v/>
      </c>
      <c r="D127" s="1"/>
      <c r="E127" s="2">
        <v>0</v>
      </c>
    </row>
    <row r="128" spans="1:5">
      <c r="A128" s="1"/>
      <c r="B128" s="2" t="str">
        <f>IFERROR(VLOOKUP(Tableaumouvement[[#This Row],[Code]],Tableaureference[],2,FALSE),"")</f>
        <v/>
      </c>
      <c r="C128" s="2" t="str">
        <f>IFERROR(VLOOKUP(Tableaumouvement[[#This Row],[Code]],Tableaureference[],3,FALSE),"")</f>
        <v/>
      </c>
      <c r="D128" s="1"/>
      <c r="E128" s="2">
        <v>0</v>
      </c>
    </row>
    <row r="129" spans="1:5">
      <c r="A129" s="1"/>
      <c r="B129" s="2" t="str">
        <f>IFERROR(VLOOKUP(Tableaumouvement[[#This Row],[Code]],Tableaureference[],2,FALSE),"")</f>
        <v/>
      </c>
      <c r="C129" s="2" t="str">
        <f>IFERROR(VLOOKUP(Tableaumouvement[[#This Row],[Code]],Tableaureference[],3,FALSE),"")</f>
        <v/>
      </c>
      <c r="D129" s="1"/>
      <c r="E129" s="2">
        <v>0</v>
      </c>
    </row>
    <row r="130" spans="1:5">
      <c r="A130" s="1"/>
      <c r="B130" s="2" t="str">
        <f>IFERROR(VLOOKUP(Tableaumouvement[[#This Row],[Code]],Tableaureference[],2,FALSE),"")</f>
        <v/>
      </c>
      <c r="C130" s="2" t="str">
        <f>IFERROR(VLOOKUP(Tableaumouvement[[#This Row],[Code]],Tableaureference[],3,FALSE),"")</f>
        <v/>
      </c>
      <c r="D130" s="1"/>
      <c r="E130" s="2">
        <v>0</v>
      </c>
    </row>
    <row r="131" spans="1:5">
      <c r="A131" s="1"/>
      <c r="B131" s="2" t="str">
        <f>IFERROR(VLOOKUP(Tableaumouvement[[#This Row],[Code]],Tableaureference[],2,FALSE),"")</f>
        <v/>
      </c>
      <c r="C131" s="2" t="str">
        <f>IFERROR(VLOOKUP(Tableaumouvement[[#This Row],[Code]],Tableaureference[],3,FALSE),"")</f>
        <v/>
      </c>
      <c r="D131" s="1"/>
      <c r="E131" s="2">
        <v>0</v>
      </c>
    </row>
    <row r="132" spans="1:5">
      <c r="A132" s="1"/>
      <c r="B132" s="2" t="str">
        <f>IFERROR(VLOOKUP(Tableaumouvement[[#This Row],[Code]],Tableaureference[],2,FALSE),"")</f>
        <v/>
      </c>
      <c r="C132" s="2" t="str">
        <f>IFERROR(VLOOKUP(Tableaumouvement[[#This Row],[Code]],Tableaureference[],3,FALSE),"")</f>
        <v/>
      </c>
      <c r="D132" s="1"/>
      <c r="E132" s="2">
        <v>0</v>
      </c>
    </row>
    <row r="133" spans="1:5">
      <c r="A133" s="1"/>
      <c r="B133" s="2" t="str">
        <f>IFERROR(VLOOKUP(Tableaumouvement[[#This Row],[Code]],Tableaureference[],2,FALSE),"")</f>
        <v/>
      </c>
      <c r="C133" s="2" t="str">
        <f>IFERROR(VLOOKUP(Tableaumouvement[[#This Row],[Code]],Tableaureference[],3,FALSE),"")</f>
        <v/>
      </c>
      <c r="D133" s="1"/>
      <c r="E133" s="2">
        <v>0</v>
      </c>
    </row>
    <row r="134" spans="1:5">
      <c r="A134" s="1"/>
      <c r="B134" s="2" t="str">
        <f>IFERROR(VLOOKUP(Tableaumouvement[[#This Row],[Code]],Tableaureference[],2,FALSE),"")</f>
        <v/>
      </c>
      <c r="C134" s="2" t="str">
        <f>IFERROR(VLOOKUP(Tableaumouvement[[#This Row],[Code]],Tableaureference[],3,FALSE),"")</f>
        <v/>
      </c>
      <c r="D134" s="1"/>
      <c r="E134" s="2">
        <v>0</v>
      </c>
    </row>
    <row r="135" spans="1:5">
      <c r="A135" s="1"/>
      <c r="B135" s="2" t="str">
        <f>IFERROR(VLOOKUP(Tableaumouvement[[#This Row],[Code]],Tableaureference[],2,FALSE),"")</f>
        <v/>
      </c>
      <c r="C135" s="2" t="str">
        <f>IFERROR(VLOOKUP(Tableaumouvement[[#This Row],[Code]],Tableaureference[],3,FALSE),"")</f>
        <v/>
      </c>
      <c r="D135" s="1"/>
      <c r="E135" s="2">
        <v>0</v>
      </c>
    </row>
    <row r="136" spans="1:5">
      <c r="A136" s="1"/>
      <c r="B136" s="2" t="str">
        <f>IFERROR(VLOOKUP(Tableaumouvement[[#This Row],[Code]],Tableaureference[],2,FALSE),"")</f>
        <v/>
      </c>
      <c r="C136" s="2" t="str">
        <f>IFERROR(VLOOKUP(Tableaumouvement[[#This Row],[Code]],Tableaureference[],3,FALSE),"")</f>
        <v/>
      </c>
      <c r="D136" s="1"/>
      <c r="E136" s="2">
        <v>0</v>
      </c>
    </row>
    <row r="137" spans="1:5">
      <c r="A137" s="1"/>
      <c r="B137" s="2" t="str">
        <f>IFERROR(VLOOKUP(Tableaumouvement[[#This Row],[Code]],Tableaureference[],2,FALSE),"")</f>
        <v/>
      </c>
      <c r="C137" s="2" t="str">
        <f>IFERROR(VLOOKUP(Tableaumouvement[[#This Row],[Code]],Tableaureference[],3,FALSE),"")</f>
        <v/>
      </c>
      <c r="D137" s="1"/>
      <c r="E137" s="2">
        <v>0</v>
      </c>
    </row>
    <row r="138" spans="1:5">
      <c r="A138" s="1"/>
      <c r="B138" s="2" t="str">
        <f>IFERROR(VLOOKUP(Tableaumouvement[[#This Row],[Code]],Tableaureference[],2,FALSE),"")</f>
        <v/>
      </c>
      <c r="C138" s="2" t="str">
        <f>IFERROR(VLOOKUP(Tableaumouvement[[#This Row],[Code]],Tableaureference[],3,FALSE),"")</f>
        <v/>
      </c>
      <c r="D138" s="1"/>
      <c r="E138" s="2">
        <v>0</v>
      </c>
    </row>
    <row r="139" spans="1:5">
      <c r="A139" s="1"/>
      <c r="B139" s="2" t="str">
        <f>IFERROR(VLOOKUP(Tableaumouvement[[#This Row],[Code]],Tableaureference[],2,FALSE),"")</f>
        <v/>
      </c>
      <c r="C139" s="2" t="str">
        <f>IFERROR(VLOOKUP(Tableaumouvement[[#This Row],[Code]],Tableaureference[],3,FALSE),"")</f>
        <v/>
      </c>
      <c r="D139" s="1"/>
      <c r="E139" s="2">
        <v>0</v>
      </c>
    </row>
    <row r="140" spans="1:5">
      <c r="A140" s="1"/>
      <c r="B140" s="2" t="str">
        <f>IFERROR(VLOOKUP(Tableaumouvement[[#This Row],[Code]],Tableaureference[],2,FALSE),"")</f>
        <v/>
      </c>
      <c r="C140" s="2" t="str">
        <f>IFERROR(VLOOKUP(Tableaumouvement[[#This Row],[Code]],Tableaureference[],3,FALSE),"")</f>
        <v/>
      </c>
      <c r="D140" s="1"/>
      <c r="E140" s="2">
        <v>0</v>
      </c>
    </row>
    <row r="141" spans="1:5">
      <c r="A141" s="1"/>
      <c r="B141" s="2" t="str">
        <f>IFERROR(VLOOKUP(Tableaumouvement[[#This Row],[Code]],Tableaureference[],2,FALSE),"")</f>
        <v/>
      </c>
      <c r="C141" s="2" t="str">
        <f>IFERROR(VLOOKUP(Tableaumouvement[[#This Row],[Code]],Tableaureference[],3,FALSE),"")</f>
        <v/>
      </c>
      <c r="D141" s="1"/>
      <c r="E141" s="2">
        <v>0</v>
      </c>
    </row>
    <row r="142" spans="1:5">
      <c r="A142" s="1"/>
      <c r="B142" s="2" t="str">
        <f>IFERROR(VLOOKUP(Tableaumouvement[[#This Row],[Code]],Tableaureference[],2,FALSE),"")</f>
        <v/>
      </c>
      <c r="C142" s="2" t="str">
        <f>IFERROR(VLOOKUP(Tableaumouvement[[#This Row],[Code]],Tableaureference[],3,FALSE),"")</f>
        <v/>
      </c>
      <c r="D142" s="1"/>
      <c r="E142" s="2">
        <v>0</v>
      </c>
    </row>
    <row r="143" spans="1:5">
      <c r="A143" s="1"/>
      <c r="B143" s="2" t="str">
        <f>IFERROR(VLOOKUP(Tableaumouvement[[#This Row],[Code]],Tableaureference[],2,FALSE),"")</f>
        <v/>
      </c>
      <c r="C143" s="2" t="str">
        <f>IFERROR(VLOOKUP(Tableaumouvement[[#This Row],[Code]],Tableaureference[],3,FALSE),"")</f>
        <v/>
      </c>
      <c r="D143" s="1"/>
      <c r="E143" s="2">
        <v>0</v>
      </c>
    </row>
    <row r="144" spans="1:5">
      <c r="A144" s="1"/>
      <c r="B144" s="2" t="str">
        <f>IFERROR(VLOOKUP(Tableaumouvement[[#This Row],[Code]],Tableaureference[],2,FALSE),"")</f>
        <v/>
      </c>
      <c r="C144" s="2" t="str">
        <f>IFERROR(VLOOKUP(Tableaumouvement[[#This Row],[Code]],Tableaureference[],3,FALSE),"")</f>
        <v/>
      </c>
      <c r="D144" s="1"/>
      <c r="E144" s="2">
        <v>0</v>
      </c>
    </row>
    <row r="145" spans="1:5">
      <c r="A145" s="1"/>
      <c r="B145" s="2" t="str">
        <f>IFERROR(VLOOKUP(Tableaumouvement[[#This Row],[Code]],Tableaureference[],2,FALSE),"")</f>
        <v/>
      </c>
      <c r="C145" s="2" t="str">
        <f>IFERROR(VLOOKUP(Tableaumouvement[[#This Row],[Code]],Tableaureference[],3,FALSE),"")</f>
        <v/>
      </c>
      <c r="D145" s="1"/>
      <c r="E145" s="2">
        <v>0</v>
      </c>
    </row>
    <row r="146" spans="1:5">
      <c r="A146" s="1"/>
      <c r="B146" s="2" t="str">
        <f>IFERROR(VLOOKUP(Tableaumouvement[[#This Row],[Code]],Tableaureference[],2,FALSE),"")</f>
        <v/>
      </c>
      <c r="C146" s="2" t="str">
        <f>IFERROR(VLOOKUP(Tableaumouvement[[#This Row],[Code]],Tableaureference[],3,FALSE),"")</f>
        <v/>
      </c>
      <c r="D146" s="1"/>
      <c r="E146" s="2">
        <v>0</v>
      </c>
    </row>
    <row r="147" spans="1:5">
      <c r="A147" s="1"/>
      <c r="B147" s="2" t="str">
        <f>IFERROR(VLOOKUP(Tableaumouvement[[#This Row],[Code]],Tableaureference[],2,FALSE),"")</f>
        <v/>
      </c>
      <c r="C147" s="2" t="str">
        <f>IFERROR(VLOOKUP(Tableaumouvement[[#This Row],[Code]],Tableaureference[],3,FALSE),"")</f>
        <v/>
      </c>
      <c r="D147" s="1"/>
      <c r="E147" s="2">
        <v>0</v>
      </c>
    </row>
    <row r="148" spans="1:5">
      <c r="A148" s="12"/>
      <c r="B148" s="2" t="str">
        <f>IFERROR(VLOOKUP(Tableaumouvement[[#This Row],[Code]],Tableaureference[],2,FALSE),"")</f>
        <v/>
      </c>
      <c r="C148" s="2" t="str">
        <f>IFERROR(VLOOKUP(Tableaumouvement[[#This Row],[Code]],Tableaureference[],3,FALSE),"")</f>
        <v/>
      </c>
      <c r="D148" s="12"/>
      <c r="E148" s="2">
        <v>0</v>
      </c>
    </row>
  </sheetData>
  <dataValidations count="1">
    <dataValidation type="list" allowBlank="1" showInputMessage="1" showErrorMessage="1" sqref="D2:D148" xr:uid="{0CFD9878-5B76-442D-9A99-4C75005DE14C}">
      <formula1>"Entrée,Sortie,"</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6B7DD4FF-B23F-4273-ABCA-1EEF1CA09B93}">
          <x14:formula1>
            <xm:f>REFERENCE!$A$2:$A$101</xm:f>
          </x14:formula1>
          <xm:sqref>A2:A148</xm:sqref>
        </x14:dataValidation>
        <x14:dataValidation type="list" allowBlank="1" showInputMessage="1" showErrorMessage="1" xr:uid="{369717E8-E2E7-4D30-ABFD-34C2DA4B515D}">
          <x14:formula1>
            <xm:f>REFERENCE!$B$2:$B$101</xm:f>
          </x14:formula1>
          <xm:sqref>B2:B148</xm:sqref>
        </x14:dataValidation>
        <x14:dataValidation type="list" allowBlank="1" showInputMessage="1" showErrorMessage="1" xr:uid="{117FFBC1-99AD-4A30-8B4E-9246E8596594}">
          <x14:formula1>
            <xm:f>REFERENCE!$C$82:$C$91</xm:f>
          </x14:formula1>
          <xm:sqref>C2:C148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E187-BE6C-436B-BBBF-184C604CACF9}">
  <dimension ref="A1:S5"/>
  <sheetViews>
    <sheetView workbookViewId="0">
      <pane ySplit="1" topLeftCell="A2" activePane="bottomLeft" state="frozen"/>
      <selection pane="bottomLeft" activeCell="R5" sqref="R5"/>
    </sheetView>
  </sheetViews>
  <sheetFormatPr defaultRowHeight="58.5" customHeight="1"/>
  <cols>
    <col min="1" max="17" width="9.140625" style="21"/>
    <col min="18" max="18" width="18.5703125" style="21" bestFit="1" customWidth="1"/>
    <col min="19" max="16384" width="9.140625" style="21"/>
  </cols>
  <sheetData>
    <row r="1" spans="1:19" s="22" customFormat="1" ht="58.5" customHeight="1">
      <c r="A1" s="51" t="s">
        <v>224</v>
      </c>
      <c r="B1" s="51"/>
      <c r="C1" s="51"/>
      <c r="D1" s="51"/>
      <c r="E1" s="51"/>
      <c r="F1" s="51"/>
      <c r="G1" s="51"/>
      <c r="H1" s="51"/>
      <c r="I1" s="51"/>
      <c r="J1" s="51"/>
      <c r="K1" s="51"/>
      <c r="L1" s="51"/>
      <c r="M1" s="51"/>
      <c r="N1" s="51"/>
      <c r="O1" s="51"/>
      <c r="P1" s="51"/>
      <c r="Q1" s="51"/>
      <c r="R1" s="51"/>
      <c r="S1" s="51"/>
    </row>
    <row r="2" spans="1:19" ht="23.25" customHeight="1">
      <c r="A2" s="23"/>
      <c r="B2" s="23"/>
      <c r="C2" s="23"/>
      <c r="D2" s="23"/>
      <c r="E2" s="23"/>
      <c r="F2" s="23"/>
      <c r="G2" s="23"/>
      <c r="H2" s="23"/>
      <c r="I2" s="23"/>
      <c r="J2" s="23"/>
      <c r="K2" s="23"/>
      <c r="L2" s="23"/>
      <c r="M2" s="23"/>
      <c r="N2" s="23"/>
      <c r="O2" s="23"/>
      <c r="P2" s="23"/>
      <c r="Q2" s="23"/>
      <c r="R2" s="23"/>
      <c r="S2" s="23"/>
    </row>
    <row r="3" spans="1:19" ht="30.75" customHeight="1">
      <c r="C3" s="52" t="s">
        <v>225</v>
      </c>
      <c r="D3" s="52"/>
      <c r="E3" s="52"/>
      <c r="F3" s="52"/>
      <c r="G3" s="52"/>
      <c r="L3" s="24"/>
      <c r="M3" s="24"/>
      <c r="O3" s="23"/>
      <c r="R3" s="23"/>
    </row>
    <row r="4" spans="1:19" ht="58.5" customHeight="1">
      <c r="O4" s="53" t="s">
        <v>226</v>
      </c>
      <c r="P4" s="54"/>
      <c r="Q4" s="54"/>
      <c r="R4" s="25">
        <f>COUNTIF(Tableaureference[Statut],"Reapprovisionnement")</f>
        <v>65</v>
      </c>
    </row>
    <row r="5" spans="1:19" ht="58.5" customHeight="1">
      <c r="O5" s="53" t="s">
        <v>227</v>
      </c>
      <c r="P5" s="54"/>
      <c r="Q5" s="54"/>
      <c r="R5" s="26">
        <f>COUNTA(Tableaureference[Designation])</f>
        <v>100</v>
      </c>
    </row>
  </sheetData>
  <mergeCells count="4">
    <mergeCell ref="A1:S1"/>
    <mergeCell ref="C3:G3"/>
    <mergeCell ref="O4:Q4"/>
    <mergeCell ref="O5:Q5"/>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42CED-58AB-4ECD-BD9A-A61E791B515B}">
  <dimension ref="A1:T65"/>
  <sheetViews>
    <sheetView workbookViewId="0">
      <pane ySplit="1" topLeftCell="A2" activePane="bottomLeft" state="frozen"/>
      <selection pane="bottomLeft" activeCell="G4" sqref="G4"/>
    </sheetView>
  </sheetViews>
  <sheetFormatPr defaultRowHeight="15"/>
  <cols>
    <col min="7" max="7" width="14.7109375" customWidth="1"/>
    <col min="8" max="8" width="6.5703125" customWidth="1"/>
    <col min="9" max="9" width="6" customWidth="1"/>
    <col min="10" max="10" width="7.7109375" customWidth="1"/>
    <col min="11" max="11" width="20.42578125" customWidth="1"/>
    <col min="12" max="12" width="16" customWidth="1"/>
    <col min="13" max="13" width="16.5703125" customWidth="1"/>
    <col min="14" max="14" width="16.140625" customWidth="1"/>
    <col min="15" max="15" width="19.28515625" customWidth="1"/>
  </cols>
  <sheetData>
    <row r="1" spans="1:20" s="22" customFormat="1" ht="45.75" customHeight="1">
      <c r="A1" s="55" t="s">
        <v>228</v>
      </c>
      <c r="B1" s="55"/>
      <c r="C1" s="55"/>
      <c r="D1" s="55"/>
      <c r="E1" s="55"/>
      <c r="F1" s="55"/>
      <c r="G1" s="55"/>
      <c r="H1" s="55"/>
      <c r="I1" s="55"/>
      <c r="J1" s="55"/>
      <c r="K1" s="55"/>
      <c r="L1" s="55"/>
      <c r="M1" s="55"/>
      <c r="N1" s="55"/>
      <c r="O1" s="55"/>
      <c r="P1" s="55"/>
      <c r="Q1" s="55"/>
      <c r="R1" s="55"/>
      <c r="S1" s="55"/>
      <c r="T1" s="55"/>
    </row>
    <row r="4" spans="1:20" ht="15.75" thickBot="1">
      <c r="I4" t="s">
        <v>233</v>
      </c>
    </row>
    <row r="5" spans="1:20">
      <c r="B5" s="43" t="s">
        <v>229</v>
      </c>
      <c r="C5" s="44"/>
      <c r="D5" s="44"/>
      <c r="E5" s="44"/>
      <c r="F5" s="45">
        <v>7000000</v>
      </c>
      <c r="G5" s="46"/>
      <c r="J5" t="s">
        <v>238</v>
      </c>
      <c r="K5" t="s">
        <v>234</v>
      </c>
      <c r="L5" t="s">
        <v>232</v>
      </c>
      <c r="M5" t="s">
        <v>235</v>
      </c>
      <c r="N5" t="s">
        <v>236</v>
      </c>
      <c r="O5" t="s">
        <v>237</v>
      </c>
    </row>
    <row r="6" spans="1:20">
      <c r="B6" s="30"/>
      <c r="C6" s="28"/>
      <c r="D6" s="28"/>
      <c r="E6" s="28"/>
      <c r="F6" s="29"/>
      <c r="G6" s="31"/>
      <c r="J6">
        <v>1</v>
      </c>
      <c r="K6" s="27">
        <f>F5</f>
        <v>7000000</v>
      </c>
      <c r="L6" s="27">
        <f>$F$11</f>
        <v>303974.45519541838</v>
      </c>
      <c r="M6" s="27">
        <f>Table4[[#This Row],[solde debut]]*($F$7/12)</f>
        <v>23333.333333333336</v>
      </c>
      <c r="N6" s="27">
        <f>Table4[[#This Row],[Mensualite]]-Table4[[#This Row],[Interet]]</f>
        <v>280641.12186208507</v>
      </c>
      <c r="O6" s="27">
        <f>Table4[[#This Row],[solde debut]]-Table4[[#This Row],[Principal]]</f>
        <v>6719358.8781379145</v>
      </c>
    </row>
    <row r="7" spans="1:20">
      <c r="B7" s="47" t="s">
        <v>230</v>
      </c>
      <c r="C7" s="48"/>
      <c r="D7" s="48"/>
      <c r="E7" s="48"/>
      <c r="F7" s="49">
        <v>0.04</v>
      </c>
      <c r="G7" s="50"/>
      <c r="J7">
        <v>2</v>
      </c>
      <c r="K7" s="27">
        <f>O6</f>
        <v>6719358.8781379145</v>
      </c>
      <c r="L7" s="27">
        <f>$F$11</f>
        <v>303974.45519541838</v>
      </c>
      <c r="M7" s="27">
        <f>K7*($F$7/12)</f>
        <v>22397.862927126382</v>
      </c>
      <c r="N7" s="27">
        <f>Table4[[#This Row],[Mensualite]]-Table4[[#This Row],[Interet]]</f>
        <v>281576.59226829198</v>
      </c>
      <c r="O7" s="27">
        <f>Table4[[#This Row],[solde debut]]-Table4[[#This Row],[Principal]]</f>
        <v>6437782.2858696226</v>
      </c>
    </row>
    <row r="8" spans="1:20">
      <c r="B8" s="30"/>
      <c r="C8" s="28"/>
      <c r="D8" s="28"/>
      <c r="E8" s="28"/>
      <c r="F8" s="29"/>
      <c r="G8" s="31"/>
      <c r="J8">
        <v>3</v>
      </c>
      <c r="K8" s="27">
        <f>O7</f>
        <v>6437782.2858696226</v>
      </c>
      <c r="L8" s="27">
        <f>$F$11</f>
        <v>303974.45519541838</v>
      </c>
      <c r="M8" s="27">
        <f t="shared" ref="M8" si="0">K8*($F$7/12)</f>
        <v>21459.274286232077</v>
      </c>
      <c r="N8" s="27">
        <f>Table4[[#This Row],[Mensualite]]-Table4[[#This Row],[Interet]]</f>
        <v>282515.18090918631</v>
      </c>
      <c r="O8" s="27">
        <f>Table4[[#This Row],[solde debut]]-Table4[[#This Row],[Principal]]</f>
        <v>6155267.104960436</v>
      </c>
    </row>
    <row r="9" spans="1:20">
      <c r="B9" s="47" t="s">
        <v>231</v>
      </c>
      <c r="C9" s="48"/>
      <c r="D9" s="48"/>
      <c r="E9" s="48"/>
      <c r="F9" s="56">
        <v>2</v>
      </c>
      <c r="G9" s="57"/>
      <c r="J9">
        <v>4</v>
      </c>
      <c r="K9" s="27">
        <f t="shared" ref="K9:K65" si="1">O8</f>
        <v>6155267.104960436</v>
      </c>
      <c r="L9" s="27">
        <f t="shared" ref="L9:L65" si="2">$F$11</f>
        <v>303974.45519541838</v>
      </c>
      <c r="M9" s="27">
        <f t="shared" ref="M9:M65" si="3">K9*($F$7/12)</f>
        <v>20517.557016534789</v>
      </c>
      <c r="N9" s="27">
        <f>Table4[[#This Row],[Mensualite]]-Table4[[#This Row],[Interet]]</f>
        <v>283456.8981788836</v>
      </c>
      <c r="O9" s="27">
        <f>Table4[[#This Row],[solde debut]]-Table4[[#This Row],[Principal]]</f>
        <v>5871810.2067815522</v>
      </c>
    </row>
    <row r="10" spans="1:20" ht="15" customHeight="1">
      <c r="B10" s="30"/>
      <c r="C10" s="28"/>
      <c r="D10" s="28"/>
      <c r="E10" s="28"/>
      <c r="F10" s="29"/>
      <c r="G10" s="31"/>
      <c r="J10">
        <v>5</v>
      </c>
      <c r="K10" s="27">
        <f t="shared" si="1"/>
        <v>5871810.2067815522</v>
      </c>
      <c r="L10" s="27">
        <f t="shared" si="2"/>
        <v>303974.45519541838</v>
      </c>
      <c r="M10" s="27">
        <f t="shared" si="3"/>
        <v>19572.700689271842</v>
      </c>
      <c r="N10" s="27">
        <f>Table4[[#This Row],[Mensualite]]-Table4[[#This Row],[Interet]]</f>
        <v>284401.75450614654</v>
      </c>
      <c r="O10" s="27">
        <f>Table4[[#This Row],[solde debut]]-Table4[[#This Row],[Principal]]</f>
        <v>5587408.4522754056</v>
      </c>
    </row>
    <row r="11" spans="1:20" ht="15.75" thickBot="1">
      <c r="B11" s="33" t="s">
        <v>232</v>
      </c>
      <c r="C11" s="34"/>
      <c r="D11" s="34"/>
      <c r="E11" s="34"/>
      <c r="F11" s="35">
        <f>IFERROR(PMT(F7/12,F9*12,-F5),0)</f>
        <v>303974.45519541838</v>
      </c>
      <c r="G11" s="36"/>
      <c r="J11">
        <v>6</v>
      </c>
      <c r="K11" s="27">
        <f t="shared" si="1"/>
        <v>5587408.4522754056</v>
      </c>
      <c r="L11" s="27">
        <f t="shared" si="2"/>
        <v>303974.45519541838</v>
      </c>
      <c r="M11" s="27">
        <f t="shared" si="3"/>
        <v>18624.694840918019</v>
      </c>
      <c r="N11" s="27">
        <f>Table4[[#This Row],[Mensualite]]-Table4[[#This Row],[Interet]]</f>
        <v>285349.76035450038</v>
      </c>
      <c r="O11" s="27">
        <f>Table4[[#This Row],[solde debut]]-Table4[[#This Row],[Principal]]</f>
        <v>5302058.6919209054</v>
      </c>
    </row>
    <row r="12" spans="1:20">
      <c r="J12">
        <v>7</v>
      </c>
      <c r="K12" s="27">
        <f t="shared" si="1"/>
        <v>5302058.6919209054</v>
      </c>
      <c r="L12" s="27">
        <f t="shared" si="2"/>
        <v>303974.45519541838</v>
      </c>
      <c r="M12" s="27">
        <f t="shared" si="3"/>
        <v>17673.528973069686</v>
      </c>
      <c r="N12" s="27">
        <f>Table4[[#This Row],[Mensualite]]-Table4[[#This Row],[Interet]]</f>
        <v>286300.9262223487</v>
      </c>
      <c r="O12" s="27">
        <f>Table4[[#This Row],[solde debut]]-Table4[[#This Row],[Principal]]</f>
        <v>5015757.7656985568</v>
      </c>
    </row>
    <row r="13" spans="1:20">
      <c r="J13">
        <v>8</v>
      </c>
      <c r="K13" s="27">
        <f t="shared" si="1"/>
        <v>5015757.7656985568</v>
      </c>
      <c r="L13" s="27">
        <f t="shared" si="2"/>
        <v>303974.45519541838</v>
      </c>
      <c r="M13" s="27">
        <f t="shared" si="3"/>
        <v>16719.192552328524</v>
      </c>
      <c r="N13" s="27">
        <f>Table4[[#This Row],[Mensualite]]-Table4[[#This Row],[Interet]]</f>
        <v>287255.26264308987</v>
      </c>
      <c r="O13" s="27">
        <f>Table4[[#This Row],[solde debut]]-Table4[[#This Row],[Principal]]</f>
        <v>4728502.5030554673</v>
      </c>
    </row>
    <row r="14" spans="1:20">
      <c r="J14">
        <v>9</v>
      </c>
      <c r="K14" s="27">
        <f t="shared" si="1"/>
        <v>4728502.5030554673</v>
      </c>
      <c r="L14" s="27">
        <f t="shared" si="2"/>
        <v>303974.45519541838</v>
      </c>
      <c r="M14" s="27">
        <f t="shared" si="3"/>
        <v>15761.675010184892</v>
      </c>
      <c r="N14" s="27">
        <f>Table4[[#This Row],[Mensualite]]-Table4[[#This Row],[Interet]]</f>
        <v>288212.78018523351</v>
      </c>
      <c r="O14" s="27">
        <f>Table4[[#This Row],[solde debut]]-Table4[[#This Row],[Principal]]</f>
        <v>4440289.7228702335</v>
      </c>
    </row>
    <row r="15" spans="1:20">
      <c r="J15">
        <v>10</v>
      </c>
      <c r="K15" s="27">
        <f t="shared" si="1"/>
        <v>4440289.7228702335</v>
      </c>
      <c r="L15" s="27">
        <f t="shared" si="2"/>
        <v>303974.45519541838</v>
      </c>
      <c r="M15" s="27">
        <f t="shared" si="3"/>
        <v>14800.965742900778</v>
      </c>
      <c r="N15" s="27">
        <f>Table4[[#This Row],[Mensualite]]-Table4[[#This Row],[Interet]]</f>
        <v>289173.48945251759</v>
      </c>
      <c r="O15" s="27">
        <f>Table4[[#This Row],[solde debut]]-Table4[[#This Row],[Principal]]</f>
        <v>4151116.2334177159</v>
      </c>
    </row>
    <row r="16" spans="1:20">
      <c r="J16">
        <v>11</v>
      </c>
      <c r="K16" s="27">
        <f t="shared" si="1"/>
        <v>4151116.2334177159</v>
      </c>
      <c r="L16" s="27">
        <f t="shared" si="2"/>
        <v>303974.45519541838</v>
      </c>
      <c r="M16" s="27">
        <f t="shared" si="3"/>
        <v>13837.054111392386</v>
      </c>
      <c r="N16" s="27">
        <f>Table4[[#This Row],[Mensualite]]-Table4[[#This Row],[Interet]]</f>
        <v>290137.40108402597</v>
      </c>
      <c r="O16" s="27">
        <f>Table4[[#This Row],[solde debut]]-Table4[[#This Row],[Principal]]</f>
        <v>3860978.83233369</v>
      </c>
    </row>
    <row r="17" spans="10:15">
      <c r="J17">
        <v>12</v>
      </c>
      <c r="K17" s="27">
        <f t="shared" si="1"/>
        <v>3860978.83233369</v>
      </c>
      <c r="L17" s="27">
        <f t="shared" si="2"/>
        <v>303974.45519541838</v>
      </c>
      <c r="M17" s="27">
        <f t="shared" si="3"/>
        <v>12869.929441112301</v>
      </c>
      <c r="N17" s="27">
        <f>Table4[[#This Row],[Mensualite]]-Table4[[#This Row],[Interet]]</f>
        <v>291104.52575430606</v>
      </c>
      <c r="O17" s="27">
        <f>Table4[[#This Row],[solde debut]]-Table4[[#This Row],[Principal]]</f>
        <v>3569874.306579384</v>
      </c>
    </row>
    <row r="18" spans="10:15">
      <c r="J18">
        <v>13</v>
      </c>
      <c r="K18" s="27">
        <f t="shared" si="1"/>
        <v>3569874.306579384</v>
      </c>
      <c r="L18" s="27">
        <f t="shared" si="2"/>
        <v>303974.45519541838</v>
      </c>
      <c r="M18" s="27">
        <f t="shared" si="3"/>
        <v>11899.581021931281</v>
      </c>
      <c r="N18" s="27">
        <f>Table4[[#This Row],[Mensualite]]-Table4[[#This Row],[Interet]]</f>
        <v>292074.87417348713</v>
      </c>
      <c r="O18" s="27">
        <f>Table4[[#This Row],[solde debut]]-Table4[[#This Row],[Principal]]</f>
        <v>3277799.432405897</v>
      </c>
    </row>
    <row r="19" spans="10:15">
      <c r="J19">
        <v>14</v>
      </c>
      <c r="K19" s="27">
        <f t="shared" si="1"/>
        <v>3277799.432405897</v>
      </c>
      <c r="L19" s="27">
        <f t="shared" si="2"/>
        <v>303974.45519541838</v>
      </c>
      <c r="M19" s="27">
        <f t="shared" si="3"/>
        <v>10925.998108019658</v>
      </c>
      <c r="N19" s="27">
        <f>Table4[[#This Row],[Mensualite]]-Table4[[#This Row],[Interet]]</f>
        <v>293048.45708739874</v>
      </c>
      <c r="O19" s="27">
        <f>Table4[[#This Row],[solde debut]]-Table4[[#This Row],[Principal]]</f>
        <v>2984750.975318498</v>
      </c>
    </row>
    <row r="20" spans="10:15">
      <c r="J20">
        <v>15</v>
      </c>
      <c r="K20" s="27">
        <f t="shared" si="1"/>
        <v>2984750.975318498</v>
      </c>
      <c r="L20" s="27">
        <f t="shared" si="2"/>
        <v>303974.45519541838</v>
      </c>
      <c r="M20" s="27">
        <f t="shared" si="3"/>
        <v>9949.1699177283281</v>
      </c>
      <c r="N20" s="27">
        <f>Table4[[#This Row],[Mensualite]]-Table4[[#This Row],[Interet]]</f>
        <v>294025.28527769004</v>
      </c>
      <c r="O20" s="27">
        <f>Table4[[#This Row],[solde debut]]-Table4[[#This Row],[Principal]]</f>
        <v>2690725.6900408082</v>
      </c>
    </row>
    <row r="21" spans="10:15">
      <c r="J21">
        <v>16</v>
      </c>
      <c r="K21" s="27">
        <f t="shared" si="1"/>
        <v>2690725.6900408082</v>
      </c>
      <c r="L21" s="27">
        <f t="shared" si="2"/>
        <v>303974.45519541838</v>
      </c>
      <c r="M21" s="27">
        <f t="shared" si="3"/>
        <v>8969.0856334693617</v>
      </c>
      <c r="N21" s="27">
        <f>Table4[[#This Row],[Mensualite]]-Table4[[#This Row],[Interet]]</f>
        <v>295005.36956194905</v>
      </c>
      <c r="O21" s="27">
        <f>Table4[[#This Row],[solde debut]]-Table4[[#This Row],[Principal]]</f>
        <v>2395720.3204788594</v>
      </c>
    </row>
    <row r="22" spans="10:15">
      <c r="J22">
        <v>17</v>
      </c>
      <c r="K22" s="27">
        <f t="shared" si="1"/>
        <v>2395720.3204788594</v>
      </c>
      <c r="L22" s="27">
        <f t="shared" si="2"/>
        <v>303974.45519541838</v>
      </c>
      <c r="M22" s="27">
        <f t="shared" si="3"/>
        <v>7985.734401596198</v>
      </c>
      <c r="N22" s="27">
        <f>Table4[[#This Row],[Mensualite]]-Table4[[#This Row],[Interet]]</f>
        <v>295988.7207938222</v>
      </c>
      <c r="O22" s="27">
        <f>Table4[[#This Row],[solde debut]]-Table4[[#This Row],[Principal]]</f>
        <v>2099731.599685037</v>
      </c>
    </row>
    <row r="23" spans="10:15">
      <c r="J23">
        <v>18</v>
      </c>
      <c r="K23" s="27">
        <f t="shared" si="1"/>
        <v>2099731.599685037</v>
      </c>
      <c r="L23" s="27">
        <f t="shared" si="2"/>
        <v>303974.45519541838</v>
      </c>
      <c r="M23" s="27">
        <f t="shared" si="3"/>
        <v>6999.1053322834568</v>
      </c>
      <c r="N23" s="27">
        <f>Table4[[#This Row],[Mensualite]]-Table4[[#This Row],[Interet]]</f>
        <v>296975.34986313491</v>
      </c>
      <c r="O23" s="27">
        <f>Table4[[#This Row],[solde debut]]-Table4[[#This Row],[Principal]]</f>
        <v>1802756.2498219023</v>
      </c>
    </row>
    <row r="24" spans="10:15">
      <c r="J24">
        <v>19</v>
      </c>
      <c r="K24" s="27">
        <f t="shared" si="1"/>
        <v>1802756.2498219023</v>
      </c>
      <c r="L24" s="27">
        <f t="shared" si="2"/>
        <v>303974.45519541838</v>
      </c>
      <c r="M24" s="27">
        <f t="shared" si="3"/>
        <v>6009.187499406341</v>
      </c>
      <c r="N24" s="27">
        <f>Table4[[#This Row],[Mensualite]]-Table4[[#This Row],[Interet]]</f>
        <v>297965.26769601204</v>
      </c>
      <c r="O24" s="27">
        <f>Table4[[#This Row],[solde debut]]-Table4[[#This Row],[Principal]]</f>
        <v>1504790.9821258902</v>
      </c>
    </row>
    <row r="25" spans="10:15">
      <c r="J25">
        <v>20</v>
      </c>
      <c r="K25" s="27">
        <f t="shared" si="1"/>
        <v>1504790.9821258902</v>
      </c>
      <c r="L25" s="27">
        <f t="shared" si="2"/>
        <v>303974.45519541838</v>
      </c>
      <c r="M25" s="27">
        <f t="shared" si="3"/>
        <v>5015.9699404196344</v>
      </c>
      <c r="N25" s="27">
        <f>Table4[[#This Row],[Mensualite]]-Table4[[#This Row],[Interet]]</f>
        <v>298958.48525499873</v>
      </c>
      <c r="O25" s="27">
        <f>Table4[[#This Row],[solde debut]]-Table4[[#This Row],[Principal]]</f>
        <v>1205832.4968708914</v>
      </c>
    </row>
    <row r="26" spans="10:15">
      <c r="J26">
        <v>21</v>
      </c>
      <c r="K26" s="27">
        <f t="shared" si="1"/>
        <v>1205832.4968708914</v>
      </c>
      <c r="L26" s="27">
        <f t="shared" si="2"/>
        <v>303974.45519541838</v>
      </c>
      <c r="M26" s="27">
        <f t="shared" si="3"/>
        <v>4019.4416562363049</v>
      </c>
      <c r="N26" s="27">
        <f>Table4[[#This Row],[Mensualite]]-Table4[[#This Row],[Interet]]</f>
        <v>299955.01353918208</v>
      </c>
      <c r="O26" s="27">
        <f>Table4[[#This Row],[solde debut]]-Table4[[#This Row],[Principal]]</f>
        <v>905877.4833317094</v>
      </c>
    </row>
    <row r="27" spans="10:15">
      <c r="J27">
        <v>22</v>
      </c>
      <c r="K27" s="27">
        <f t="shared" si="1"/>
        <v>905877.4833317094</v>
      </c>
      <c r="L27" s="27">
        <f t="shared" si="2"/>
        <v>303974.45519541838</v>
      </c>
      <c r="M27" s="27">
        <f t="shared" si="3"/>
        <v>3019.5916111056981</v>
      </c>
      <c r="N27" s="27">
        <f>Table4[[#This Row],[Mensualite]]-Table4[[#This Row],[Interet]]</f>
        <v>300954.86358431267</v>
      </c>
      <c r="O27" s="27">
        <f>Table4[[#This Row],[solde debut]]-Table4[[#This Row],[Principal]]</f>
        <v>604922.61974739679</v>
      </c>
    </row>
    <row r="28" spans="10:15">
      <c r="J28">
        <v>23</v>
      </c>
      <c r="K28" s="27">
        <f t="shared" si="1"/>
        <v>604922.61974739679</v>
      </c>
      <c r="L28" s="27">
        <f t="shared" si="2"/>
        <v>303974.45519541838</v>
      </c>
      <c r="M28" s="27">
        <f t="shared" si="3"/>
        <v>2016.4087324913228</v>
      </c>
      <c r="N28" s="27">
        <f>Table4[[#This Row],[Mensualite]]-Table4[[#This Row],[Interet]]</f>
        <v>301958.04646292707</v>
      </c>
      <c r="O28" s="27">
        <f>Table4[[#This Row],[solde debut]]-Table4[[#This Row],[Principal]]</f>
        <v>302964.57328446972</v>
      </c>
    </row>
    <row r="29" spans="10:15">
      <c r="J29">
        <v>24</v>
      </c>
      <c r="K29" s="27">
        <f t="shared" si="1"/>
        <v>302964.57328446972</v>
      </c>
      <c r="L29" s="27">
        <f t="shared" si="2"/>
        <v>303974.45519541838</v>
      </c>
      <c r="M29" s="27">
        <f t="shared" si="3"/>
        <v>1009.8819109482324</v>
      </c>
      <c r="N29" s="27">
        <f>Table4[[#This Row],[Mensualite]]-Table4[[#This Row],[Interet]]</f>
        <v>302964.57328447013</v>
      </c>
      <c r="O29" s="27">
        <f>Table4[[#This Row],[solde debut]]-Table4[[#This Row],[Principal]]</f>
        <v>0</v>
      </c>
    </row>
    <row r="30" spans="10:15">
      <c r="J30">
        <v>25</v>
      </c>
      <c r="K30" s="27">
        <f t="shared" si="1"/>
        <v>0</v>
      </c>
      <c r="L30" s="27">
        <f t="shared" si="2"/>
        <v>303974.45519541838</v>
      </c>
      <c r="M30" s="27">
        <f t="shared" si="3"/>
        <v>0</v>
      </c>
      <c r="N30" s="27">
        <f>Table4[[#This Row],[Mensualite]]-Table4[[#This Row],[Interet]]</f>
        <v>303974.45519541838</v>
      </c>
      <c r="O30" s="27">
        <f>Table4[[#This Row],[solde debut]]-Table4[[#This Row],[Principal]]</f>
        <v>-303974.45519541838</v>
      </c>
    </row>
    <row r="31" spans="10:15">
      <c r="J31">
        <v>26</v>
      </c>
      <c r="K31" s="27">
        <f t="shared" si="1"/>
        <v>-303974.45519541838</v>
      </c>
      <c r="L31" s="27">
        <f t="shared" si="2"/>
        <v>303974.45519541838</v>
      </c>
      <c r="M31" s="27">
        <f t="shared" si="3"/>
        <v>-1013.248183984728</v>
      </c>
      <c r="N31" s="27">
        <f>Table4[[#This Row],[Mensualite]]-Table4[[#This Row],[Interet]]</f>
        <v>304987.7033794031</v>
      </c>
      <c r="O31" s="27">
        <f>Table4[[#This Row],[solde debut]]-Table4[[#This Row],[Principal]]</f>
        <v>-608962.15857482143</v>
      </c>
    </row>
    <row r="32" spans="10:15">
      <c r="J32">
        <v>27</v>
      </c>
      <c r="K32" s="27">
        <f t="shared" si="1"/>
        <v>-608962.15857482143</v>
      </c>
      <c r="L32" s="27">
        <f t="shared" si="2"/>
        <v>303974.45519541838</v>
      </c>
      <c r="M32" s="27">
        <f t="shared" si="3"/>
        <v>-2029.8738619160715</v>
      </c>
      <c r="N32" s="27">
        <f>Table4[[#This Row],[Mensualite]]-Table4[[#This Row],[Interet]]</f>
        <v>306004.32905733446</v>
      </c>
      <c r="O32" s="27">
        <f>Table4[[#This Row],[solde debut]]-Table4[[#This Row],[Principal]]</f>
        <v>-914966.48763215588</v>
      </c>
    </row>
    <row r="33" spans="10:15">
      <c r="J33">
        <v>28</v>
      </c>
      <c r="K33" s="27">
        <f t="shared" si="1"/>
        <v>-914966.48763215588</v>
      </c>
      <c r="L33" s="27">
        <f t="shared" si="2"/>
        <v>303974.45519541838</v>
      </c>
      <c r="M33" s="27">
        <f t="shared" si="3"/>
        <v>-3049.8882921071863</v>
      </c>
      <c r="N33" s="27">
        <f>Table4[[#This Row],[Mensualite]]-Table4[[#This Row],[Interet]]</f>
        <v>307024.34348752559</v>
      </c>
      <c r="O33" s="27">
        <f>Table4[[#This Row],[solde debut]]-Table4[[#This Row],[Principal]]</f>
        <v>-1221990.8311196815</v>
      </c>
    </row>
    <row r="34" spans="10:15">
      <c r="J34">
        <v>29</v>
      </c>
      <c r="K34" s="27">
        <f t="shared" si="1"/>
        <v>-1221990.8311196815</v>
      </c>
      <c r="L34" s="27">
        <f t="shared" si="2"/>
        <v>303974.45519541838</v>
      </c>
      <c r="M34" s="27">
        <f t="shared" si="3"/>
        <v>-4073.3027703989387</v>
      </c>
      <c r="N34" s="27">
        <f>Table4[[#This Row],[Mensualite]]-Table4[[#This Row],[Interet]]</f>
        <v>308047.75796581735</v>
      </c>
      <c r="O34" s="27">
        <f>Table4[[#This Row],[solde debut]]-Table4[[#This Row],[Principal]]</f>
        <v>-1530038.5890854988</v>
      </c>
    </row>
    <row r="35" spans="10:15">
      <c r="J35">
        <v>30</v>
      </c>
      <c r="K35" s="27">
        <f t="shared" si="1"/>
        <v>-1530038.5890854988</v>
      </c>
      <c r="L35" s="27">
        <f t="shared" si="2"/>
        <v>303974.45519541838</v>
      </c>
      <c r="M35" s="27">
        <f t="shared" si="3"/>
        <v>-5100.1286302849967</v>
      </c>
      <c r="N35" s="27">
        <f>Table4[[#This Row],[Mensualite]]-Table4[[#This Row],[Interet]]</f>
        <v>309074.58382570336</v>
      </c>
      <c r="O35" s="27">
        <f>Table4[[#This Row],[solde debut]]-Table4[[#This Row],[Principal]]</f>
        <v>-1839113.1729112021</v>
      </c>
    </row>
    <row r="36" spans="10:15">
      <c r="J36">
        <v>31</v>
      </c>
      <c r="K36" s="27">
        <f t="shared" si="1"/>
        <v>-1839113.1729112021</v>
      </c>
      <c r="L36" s="27">
        <f t="shared" si="2"/>
        <v>303974.45519541838</v>
      </c>
      <c r="M36" s="27">
        <f t="shared" si="3"/>
        <v>-6130.377243037341</v>
      </c>
      <c r="N36" s="27">
        <f>Table4[[#This Row],[Mensualite]]-Table4[[#This Row],[Interet]]</f>
        <v>310104.83243845572</v>
      </c>
      <c r="O36" s="27">
        <f>Table4[[#This Row],[solde debut]]-Table4[[#This Row],[Principal]]</f>
        <v>-2149218.005349658</v>
      </c>
    </row>
    <row r="37" spans="10:15">
      <c r="J37">
        <v>32</v>
      </c>
      <c r="K37" s="27">
        <f t="shared" si="1"/>
        <v>-2149218.005349658</v>
      </c>
      <c r="L37" s="27">
        <f t="shared" si="2"/>
        <v>303974.45519541838</v>
      </c>
      <c r="M37" s="27">
        <f t="shared" si="3"/>
        <v>-7164.0600178321938</v>
      </c>
      <c r="N37" s="27">
        <f>Table4[[#This Row],[Mensualite]]-Table4[[#This Row],[Interet]]</f>
        <v>311138.51521325059</v>
      </c>
      <c r="O37" s="27">
        <f>Table4[[#This Row],[solde debut]]-Table4[[#This Row],[Principal]]</f>
        <v>-2460356.5205629086</v>
      </c>
    </row>
    <row r="38" spans="10:15">
      <c r="J38">
        <v>33</v>
      </c>
      <c r="K38" s="27">
        <f t="shared" si="1"/>
        <v>-2460356.5205629086</v>
      </c>
      <c r="L38" s="27">
        <f t="shared" si="2"/>
        <v>303974.45519541838</v>
      </c>
      <c r="M38" s="27">
        <f t="shared" si="3"/>
        <v>-8201.1884018763631</v>
      </c>
      <c r="N38" s="27">
        <f>Table4[[#This Row],[Mensualite]]-Table4[[#This Row],[Interet]]</f>
        <v>312175.64359729475</v>
      </c>
      <c r="O38" s="27">
        <f>Table4[[#This Row],[solde debut]]-Table4[[#This Row],[Principal]]</f>
        <v>-2772532.1641602032</v>
      </c>
    </row>
    <row r="39" spans="10:15">
      <c r="J39">
        <v>34</v>
      </c>
      <c r="K39" s="27">
        <f t="shared" si="1"/>
        <v>-2772532.1641602032</v>
      </c>
      <c r="L39" s="27">
        <f t="shared" si="2"/>
        <v>303974.45519541838</v>
      </c>
      <c r="M39" s="27">
        <f t="shared" si="3"/>
        <v>-9241.7738805340105</v>
      </c>
      <c r="N39" s="27">
        <f>Table4[[#This Row],[Mensualite]]-Table4[[#This Row],[Interet]]</f>
        <v>313216.22907595237</v>
      </c>
      <c r="O39" s="27">
        <f>Table4[[#This Row],[solde debut]]-Table4[[#This Row],[Principal]]</f>
        <v>-3085748.3932361556</v>
      </c>
    </row>
    <row r="40" spans="10:15">
      <c r="J40">
        <v>35</v>
      </c>
      <c r="K40" s="27">
        <f t="shared" si="1"/>
        <v>-3085748.3932361556</v>
      </c>
      <c r="L40" s="27">
        <f t="shared" si="2"/>
        <v>303974.45519541838</v>
      </c>
      <c r="M40" s="27">
        <f t="shared" si="3"/>
        <v>-10285.827977453853</v>
      </c>
      <c r="N40" s="27">
        <f>Table4[[#This Row],[Mensualite]]-Table4[[#This Row],[Interet]]</f>
        <v>314260.28317287227</v>
      </c>
      <c r="O40" s="27">
        <f>Table4[[#This Row],[solde debut]]-Table4[[#This Row],[Principal]]</f>
        <v>-3400008.676409028</v>
      </c>
    </row>
    <row r="41" spans="10:15">
      <c r="J41">
        <v>36</v>
      </c>
      <c r="K41" s="27">
        <f t="shared" si="1"/>
        <v>-3400008.676409028</v>
      </c>
      <c r="L41" s="27">
        <f t="shared" si="2"/>
        <v>303974.45519541838</v>
      </c>
      <c r="M41" s="27">
        <f t="shared" si="3"/>
        <v>-11333.36225469676</v>
      </c>
      <c r="N41" s="27">
        <f>Table4[[#This Row],[Mensualite]]-Table4[[#This Row],[Interet]]</f>
        <v>315307.81745011517</v>
      </c>
      <c r="O41" s="27">
        <f>Table4[[#This Row],[solde debut]]-Table4[[#This Row],[Principal]]</f>
        <v>-3715316.493859143</v>
      </c>
    </row>
    <row r="42" spans="10:15">
      <c r="J42">
        <v>37</v>
      </c>
      <c r="K42" s="27">
        <f t="shared" si="1"/>
        <v>-3715316.493859143</v>
      </c>
      <c r="L42" s="27">
        <f t="shared" si="2"/>
        <v>303974.45519541838</v>
      </c>
      <c r="M42" s="27">
        <f t="shared" si="3"/>
        <v>-12384.38831286381</v>
      </c>
      <c r="N42" s="27">
        <f>Table4[[#This Row],[Mensualite]]-Table4[[#This Row],[Interet]]</f>
        <v>316358.84350828221</v>
      </c>
      <c r="O42" s="27">
        <f>Table4[[#This Row],[solde debut]]-Table4[[#This Row],[Principal]]</f>
        <v>-4031675.3373674252</v>
      </c>
    </row>
    <row r="43" spans="10:15">
      <c r="J43">
        <v>38</v>
      </c>
      <c r="K43" s="27">
        <f t="shared" si="1"/>
        <v>-4031675.3373674252</v>
      </c>
      <c r="L43" s="27">
        <f t="shared" si="2"/>
        <v>303974.45519541838</v>
      </c>
      <c r="M43" s="27">
        <f t="shared" si="3"/>
        <v>-13438.917791224752</v>
      </c>
      <c r="N43" s="27">
        <f>Table4[[#This Row],[Mensualite]]-Table4[[#This Row],[Interet]]</f>
        <v>317413.37298664311</v>
      </c>
      <c r="O43" s="27">
        <f>Table4[[#This Row],[solde debut]]-Table4[[#This Row],[Principal]]</f>
        <v>-4349088.7103540683</v>
      </c>
    </row>
    <row r="44" spans="10:15">
      <c r="J44">
        <v>39</v>
      </c>
      <c r="K44" s="27">
        <f t="shared" si="1"/>
        <v>-4349088.7103540683</v>
      </c>
      <c r="L44" s="27">
        <f t="shared" si="2"/>
        <v>303974.45519541838</v>
      </c>
      <c r="M44" s="27">
        <f t="shared" si="3"/>
        <v>-14496.962367846896</v>
      </c>
      <c r="N44" s="27">
        <f>Table4[[#This Row],[Mensualite]]-Table4[[#This Row],[Interet]]</f>
        <v>318471.41756326531</v>
      </c>
      <c r="O44" s="27">
        <f>Table4[[#This Row],[solde debut]]-Table4[[#This Row],[Principal]]</f>
        <v>-4667560.1279173335</v>
      </c>
    </row>
    <row r="45" spans="10:15">
      <c r="J45">
        <v>40</v>
      </c>
      <c r="K45" s="27">
        <f t="shared" si="1"/>
        <v>-4667560.1279173335</v>
      </c>
      <c r="L45" s="27">
        <f t="shared" si="2"/>
        <v>303974.45519541838</v>
      </c>
      <c r="M45" s="27">
        <f t="shared" si="3"/>
        <v>-15558.533759724445</v>
      </c>
      <c r="N45" s="27">
        <f>Table4[[#This Row],[Mensualite]]-Table4[[#This Row],[Interet]]</f>
        <v>319532.98895514285</v>
      </c>
      <c r="O45" s="27">
        <f>Table4[[#This Row],[solde debut]]-Table4[[#This Row],[Principal]]</f>
        <v>-4987093.1168724764</v>
      </c>
    </row>
    <row r="46" spans="10:15">
      <c r="J46">
        <v>41</v>
      </c>
      <c r="K46" s="27">
        <f t="shared" si="1"/>
        <v>-4987093.1168724764</v>
      </c>
      <c r="L46" s="27">
        <f t="shared" si="2"/>
        <v>303974.45519541838</v>
      </c>
      <c r="M46" s="27">
        <f t="shared" si="3"/>
        <v>-16623.643722908255</v>
      </c>
      <c r="N46" s="27">
        <f>Table4[[#This Row],[Mensualite]]-Table4[[#This Row],[Interet]]</f>
        <v>320598.09891832666</v>
      </c>
      <c r="O46" s="27">
        <f>Table4[[#This Row],[solde debut]]-Table4[[#This Row],[Principal]]</f>
        <v>-5307691.2157908026</v>
      </c>
    </row>
    <row r="47" spans="10:15">
      <c r="J47">
        <v>42</v>
      </c>
      <c r="K47" s="27">
        <f t="shared" si="1"/>
        <v>-5307691.2157908026</v>
      </c>
      <c r="L47" s="27">
        <f t="shared" si="2"/>
        <v>303974.45519541838</v>
      </c>
      <c r="M47" s="27">
        <f t="shared" si="3"/>
        <v>-17692.304052636009</v>
      </c>
      <c r="N47" s="27">
        <f>Table4[[#This Row],[Mensualite]]-Table4[[#This Row],[Interet]]</f>
        <v>321666.75924805441</v>
      </c>
      <c r="O47" s="27">
        <f>Table4[[#This Row],[solde debut]]-Table4[[#This Row],[Principal]]</f>
        <v>-5629357.9750388572</v>
      </c>
    </row>
    <row r="48" spans="10:15">
      <c r="J48">
        <v>43</v>
      </c>
      <c r="K48" s="27">
        <f t="shared" si="1"/>
        <v>-5629357.9750388572</v>
      </c>
      <c r="L48" s="27">
        <f t="shared" si="2"/>
        <v>303974.45519541838</v>
      </c>
      <c r="M48" s="27">
        <f t="shared" si="3"/>
        <v>-18764.526583462859</v>
      </c>
      <c r="N48" s="27">
        <f>Table4[[#This Row],[Mensualite]]-Table4[[#This Row],[Interet]]</f>
        <v>322738.98177888122</v>
      </c>
      <c r="O48" s="27">
        <f>Table4[[#This Row],[solde debut]]-Table4[[#This Row],[Principal]]</f>
        <v>-5952096.9568177387</v>
      </c>
    </row>
    <row r="49" spans="10:15">
      <c r="J49">
        <v>44</v>
      </c>
      <c r="K49" s="27">
        <f t="shared" si="1"/>
        <v>-5952096.9568177387</v>
      </c>
      <c r="L49" s="27">
        <f t="shared" si="2"/>
        <v>303974.45519541838</v>
      </c>
      <c r="M49" s="27">
        <f t="shared" si="3"/>
        <v>-19840.323189392464</v>
      </c>
      <c r="N49" s="27">
        <f>Table4[[#This Row],[Mensualite]]-Table4[[#This Row],[Interet]]</f>
        <v>323814.77838481084</v>
      </c>
      <c r="O49" s="27">
        <f>Table4[[#This Row],[solde debut]]-Table4[[#This Row],[Principal]]</f>
        <v>-6275911.73520255</v>
      </c>
    </row>
    <row r="50" spans="10:15">
      <c r="J50">
        <v>45</v>
      </c>
      <c r="K50" s="27">
        <f t="shared" si="1"/>
        <v>-6275911.73520255</v>
      </c>
      <c r="L50" s="27">
        <f t="shared" si="2"/>
        <v>303974.45519541838</v>
      </c>
      <c r="M50" s="27">
        <f t="shared" si="3"/>
        <v>-20919.7057840085</v>
      </c>
      <c r="N50" s="27">
        <f>Table4[[#This Row],[Mensualite]]-Table4[[#This Row],[Interet]]</f>
        <v>324894.16097942687</v>
      </c>
      <c r="O50" s="27">
        <f>Table4[[#This Row],[solde debut]]-Table4[[#This Row],[Principal]]</f>
        <v>-6600805.8961819764</v>
      </c>
    </row>
    <row r="51" spans="10:15">
      <c r="J51">
        <v>46</v>
      </c>
      <c r="K51" s="27">
        <f t="shared" si="1"/>
        <v>-6600805.8961819764</v>
      </c>
      <c r="L51" s="27">
        <f t="shared" si="2"/>
        <v>303974.45519541838</v>
      </c>
      <c r="M51" s="27">
        <f t="shared" si="3"/>
        <v>-22002.68632060659</v>
      </c>
      <c r="N51" s="27">
        <f>Table4[[#This Row],[Mensualite]]-Table4[[#This Row],[Interet]]</f>
        <v>325977.14151602495</v>
      </c>
      <c r="O51" s="27">
        <f>Table4[[#This Row],[solde debut]]-Table4[[#This Row],[Principal]]</f>
        <v>-6926783.0376980016</v>
      </c>
    </row>
    <row r="52" spans="10:15">
      <c r="J52">
        <v>47</v>
      </c>
      <c r="K52" s="27">
        <f t="shared" si="1"/>
        <v>-6926783.0376980016</v>
      </c>
      <c r="L52" s="27">
        <f t="shared" si="2"/>
        <v>303974.45519541838</v>
      </c>
      <c r="M52" s="27">
        <f t="shared" si="3"/>
        <v>-23089.276792326673</v>
      </c>
      <c r="N52" s="27">
        <f>Table4[[#This Row],[Mensualite]]-Table4[[#This Row],[Interet]]</f>
        <v>327063.73198774504</v>
      </c>
      <c r="O52" s="27">
        <f>Table4[[#This Row],[solde debut]]-Table4[[#This Row],[Principal]]</f>
        <v>-7253846.7696857471</v>
      </c>
    </row>
    <row r="53" spans="10:15">
      <c r="J53">
        <v>48</v>
      </c>
      <c r="K53" s="27">
        <f t="shared" si="1"/>
        <v>-7253846.7696857471</v>
      </c>
      <c r="L53" s="27">
        <f t="shared" si="2"/>
        <v>303974.45519541838</v>
      </c>
      <c r="M53" s="27">
        <f t="shared" si="3"/>
        <v>-24179.489232285825</v>
      </c>
      <c r="N53" s="27">
        <f>Table4[[#This Row],[Mensualite]]-Table4[[#This Row],[Interet]]</f>
        <v>328153.94442770421</v>
      </c>
      <c r="O53" s="27">
        <f>Table4[[#This Row],[solde debut]]-Table4[[#This Row],[Principal]]</f>
        <v>-7582000.7141134515</v>
      </c>
    </row>
    <row r="54" spans="10:15">
      <c r="J54">
        <v>49</v>
      </c>
      <c r="K54" s="27">
        <f t="shared" si="1"/>
        <v>-7582000.7141134515</v>
      </c>
      <c r="L54" s="27">
        <f t="shared" si="2"/>
        <v>303974.45519541838</v>
      </c>
      <c r="M54" s="27">
        <f t="shared" si="3"/>
        <v>-25273.335713711505</v>
      </c>
      <c r="N54" s="27">
        <f>Table4[[#This Row],[Mensualite]]-Table4[[#This Row],[Interet]]</f>
        <v>329247.79090912989</v>
      </c>
      <c r="O54" s="27">
        <f>Table4[[#This Row],[solde debut]]-Table4[[#This Row],[Principal]]</f>
        <v>-7911248.5050225817</v>
      </c>
    </row>
    <row r="55" spans="10:15">
      <c r="J55">
        <v>50</v>
      </c>
      <c r="K55" s="27">
        <f t="shared" si="1"/>
        <v>-7911248.5050225817</v>
      </c>
      <c r="L55" s="27">
        <f t="shared" si="2"/>
        <v>303974.45519541838</v>
      </c>
      <c r="M55" s="27">
        <f t="shared" si="3"/>
        <v>-26370.828350075273</v>
      </c>
      <c r="N55" s="27">
        <f>Table4[[#This Row],[Mensualite]]-Table4[[#This Row],[Interet]]</f>
        <v>330345.28354549367</v>
      </c>
      <c r="O55" s="27">
        <f>Table4[[#This Row],[solde debut]]-Table4[[#This Row],[Principal]]</f>
        <v>-8241593.7885680757</v>
      </c>
    </row>
    <row r="56" spans="10:15">
      <c r="J56">
        <v>51</v>
      </c>
      <c r="K56" s="27">
        <f t="shared" si="1"/>
        <v>-8241593.7885680757</v>
      </c>
      <c r="L56" s="27">
        <f t="shared" si="2"/>
        <v>303974.45519541838</v>
      </c>
      <c r="M56" s="27">
        <f t="shared" si="3"/>
        <v>-27471.97929522692</v>
      </c>
      <c r="N56" s="27">
        <f>Table4[[#This Row],[Mensualite]]-Table4[[#This Row],[Interet]]</f>
        <v>331446.4344906453</v>
      </c>
      <c r="O56" s="27">
        <f>Table4[[#This Row],[solde debut]]-Table4[[#This Row],[Principal]]</f>
        <v>-8573040.2230587211</v>
      </c>
    </row>
    <row r="57" spans="10:15">
      <c r="J57">
        <v>52</v>
      </c>
      <c r="K57" s="27">
        <f t="shared" si="1"/>
        <v>-8573040.2230587211</v>
      </c>
      <c r="L57" s="27">
        <f t="shared" si="2"/>
        <v>303974.45519541838</v>
      </c>
      <c r="M57" s="27">
        <f t="shared" si="3"/>
        <v>-28576.800743529071</v>
      </c>
      <c r="N57" s="27">
        <f>Table4[[#This Row],[Mensualite]]-Table4[[#This Row],[Interet]]</f>
        <v>332551.25593894743</v>
      </c>
      <c r="O57" s="27">
        <f>Table4[[#This Row],[solde debut]]-Table4[[#This Row],[Principal]]</f>
        <v>-8905591.4789976683</v>
      </c>
    </row>
    <row r="58" spans="10:15">
      <c r="J58">
        <v>53</v>
      </c>
      <c r="K58" s="27">
        <f t="shared" si="1"/>
        <v>-8905591.4789976683</v>
      </c>
      <c r="L58" s="27">
        <f t="shared" si="2"/>
        <v>303974.45519541838</v>
      </c>
      <c r="M58" s="27">
        <f t="shared" si="3"/>
        <v>-29685.304929992228</v>
      </c>
      <c r="N58" s="27">
        <f>Table4[[#This Row],[Mensualite]]-Table4[[#This Row],[Interet]]</f>
        <v>333659.76012541063</v>
      </c>
      <c r="O58" s="27">
        <f>Table4[[#This Row],[solde debut]]-Table4[[#This Row],[Principal]]</f>
        <v>-9239251.2391230781</v>
      </c>
    </row>
    <row r="59" spans="10:15">
      <c r="J59">
        <v>54</v>
      </c>
      <c r="K59" s="27">
        <f t="shared" si="1"/>
        <v>-9239251.2391230781</v>
      </c>
      <c r="L59" s="27">
        <f t="shared" si="2"/>
        <v>303974.45519541838</v>
      </c>
      <c r="M59" s="27">
        <f t="shared" si="3"/>
        <v>-30797.504130410263</v>
      </c>
      <c r="N59" s="27">
        <f>Table4[[#This Row],[Mensualite]]-Table4[[#This Row],[Interet]]</f>
        <v>334771.95932582865</v>
      </c>
      <c r="O59" s="27">
        <f>Table4[[#This Row],[solde debut]]-Table4[[#This Row],[Principal]]</f>
        <v>-9574023.1984489076</v>
      </c>
    </row>
    <row r="60" spans="10:15">
      <c r="J60">
        <v>55</v>
      </c>
      <c r="K60" s="27">
        <f t="shared" si="1"/>
        <v>-9574023.1984489076</v>
      </c>
      <c r="L60" s="27">
        <f t="shared" si="2"/>
        <v>303974.45519541838</v>
      </c>
      <c r="M60" s="27">
        <f t="shared" si="3"/>
        <v>-31913.41066149636</v>
      </c>
      <c r="N60" s="27">
        <f>Table4[[#This Row],[Mensualite]]-Table4[[#This Row],[Interet]]</f>
        <v>335887.86585691472</v>
      </c>
      <c r="O60" s="27">
        <f>Table4[[#This Row],[solde debut]]-Table4[[#This Row],[Principal]]</f>
        <v>-9909911.0643058214</v>
      </c>
    </row>
    <row r="61" spans="10:15">
      <c r="J61">
        <v>56</v>
      </c>
      <c r="K61" s="27">
        <f t="shared" si="1"/>
        <v>-9909911.0643058214</v>
      </c>
      <c r="L61" s="27">
        <f t="shared" si="2"/>
        <v>303974.45519541838</v>
      </c>
      <c r="M61" s="27">
        <f t="shared" si="3"/>
        <v>-33033.036881019405</v>
      </c>
      <c r="N61" s="27">
        <f>Table4[[#This Row],[Mensualite]]-Table4[[#This Row],[Interet]]</f>
        <v>337007.4920764378</v>
      </c>
      <c r="O61" s="27">
        <f>Table4[[#This Row],[solde debut]]-Table4[[#This Row],[Principal]]</f>
        <v>-10246918.556382259</v>
      </c>
    </row>
    <row r="62" spans="10:15">
      <c r="J62">
        <v>57</v>
      </c>
      <c r="K62" s="27">
        <f t="shared" si="1"/>
        <v>-10246918.556382259</v>
      </c>
      <c r="L62" s="27">
        <f t="shared" si="2"/>
        <v>303974.45519541838</v>
      </c>
      <c r="M62" s="27">
        <f t="shared" si="3"/>
        <v>-34156.395187940863</v>
      </c>
      <c r="N62" s="27">
        <f>Table4[[#This Row],[Mensualite]]-Table4[[#This Row],[Interet]]</f>
        <v>338130.85038335924</v>
      </c>
      <c r="O62" s="27">
        <f>Table4[[#This Row],[solde debut]]-Table4[[#This Row],[Principal]]</f>
        <v>-10585049.406765619</v>
      </c>
    </row>
    <row r="63" spans="10:15">
      <c r="J63">
        <v>58</v>
      </c>
      <c r="K63" s="27">
        <f t="shared" si="1"/>
        <v>-10585049.406765619</v>
      </c>
      <c r="L63" s="27">
        <f t="shared" si="2"/>
        <v>303974.45519541838</v>
      </c>
      <c r="M63" s="27">
        <f t="shared" si="3"/>
        <v>-35283.498022552063</v>
      </c>
      <c r="N63" s="27">
        <f>Table4[[#This Row],[Mensualite]]-Table4[[#This Row],[Interet]]</f>
        <v>339257.95321797044</v>
      </c>
      <c r="O63" s="27">
        <f>Table4[[#This Row],[solde debut]]-Table4[[#This Row],[Principal]]</f>
        <v>-10924307.35998359</v>
      </c>
    </row>
    <row r="64" spans="10:15">
      <c r="J64">
        <v>59</v>
      </c>
      <c r="K64" s="27">
        <f t="shared" si="1"/>
        <v>-10924307.35998359</v>
      </c>
      <c r="L64" s="27">
        <f t="shared" si="2"/>
        <v>303974.45519541838</v>
      </c>
      <c r="M64" s="27">
        <f t="shared" si="3"/>
        <v>-36414.357866611965</v>
      </c>
      <c r="N64" s="27">
        <f>Table4[[#This Row],[Mensualite]]-Table4[[#This Row],[Interet]]</f>
        <v>340388.81306203036</v>
      </c>
      <c r="O64" s="27">
        <f>Table4[[#This Row],[solde debut]]-Table4[[#This Row],[Principal]]</f>
        <v>-11264696.17304562</v>
      </c>
    </row>
    <row r="65" spans="10:15">
      <c r="J65">
        <v>60</v>
      </c>
      <c r="K65" s="27">
        <f t="shared" si="1"/>
        <v>-11264696.17304562</v>
      </c>
      <c r="L65" s="27">
        <f t="shared" si="2"/>
        <v>303974.45519541838</v>
      </c>
      <c r="M65" s="27">
        <f t="shared" si="3"/>
        <v>-37548.987243485404</v>
      </c>
      <c r="N65" s="27">
        <f>Table4[[#This Row],[Mensualite]]-Table4[[#This Row],[Interet]]</f>
        <v>341523.44243890379</v>
      </c>
      <c r="O65" s="27">
        <f>Table4[[#This Row],[solde debut]]-Table4[[#This Row],[Principal]]</f>
        <v>-11606219.615484525</v>
      </c>
    </row>
  </sheetData>
  <mergeCells count="9">
    <mergeCell ref="A1:T1"/>
    <mergeCell ref="B5:E5"/>
    <mergeCell ref="B7:E7"/>
    <mergeCell ref="B9:E9"/>
    <mergeCell ref="B11:E11"/>
    <mergeCell ref="F5:G5"/>
    <mergeCell ref="F7:G7"/>
    <mergeCell ref="F9:G9"/>
    <mergeCell ref="F11:G11"/>
  </mergeCells>
  <conditionalFormatting sqref="O6:O65">
    <cfRule type="cellIs" dxfId="8" priority="1" operator="lessThan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89AE-82DA-4832-8B34-E2162A251441}">
  <dimension ref="A1:S13"/>
  <sheetViews>
    <sheetView workbookViewId="0">
      <pane ySplit="1" topLeftCell="A2" activePane="bottomLeft" state="frozen"/>
      <selection pane="bottomLeft" activeCell="F14" sqref="F14"/>
    </sheetView>
  </sheetViews>
  <sheetFormatPr defaultRowHeight="15"/>
  <cols>
    <col min="7" max="7" width="12.140625" customWidth="1"/>
    <col min="8" max="8" width="6.85546875" customWidth="1"/>
    <col min="9" max="10" width="5.42578125" customWidth="1"/>
    <col min="11" max="11" width="17.7109375" customWidth="1"/>
    <col min="12" max="12" width="15.5703125" customWidth="1"/>
    <col min="13" max="13" width="15.85546875" customWidth="1"/>
    <col min="14" max="14" width="15" customWidth="1"/>
    <col min="15" max="15" width="7" customWidth="1"/>
    <col min="18" max="18" width="19.42578125" customWidth="1"/>
  </cols>
  <sheetData>
    <row r="1" spans="1:19" s="22" customFormat="1" ht="53.25" customHeight="1">
      <c r="A1" s="42" t="s">
        <v>239</v>
      </c>
      <c r="B1" s="42"/>
      <c r="C1" s="42"/>
      <c r="D1" s="42"/>
      <c r="E1" s="42"/>
      <c r="F1" s="42"/>
      <c r="G1" s="42"/>
      <c r="H1" s="42"/>
      <c r="I1" s="42"/>
      <c r="J1" s="42"/>
      <c r="K1" s="42"/>
      <c r="L1" s="42"/>
      <c r="M1" s="42"/>
      <c r="N1" s="42"/>
      <c r="O1" s="42"/>
      <c r="P1" s="42"/>
      <c r="Q1" s="42"/>
      <c r="R1" s="42"/>
      <c r="S1" s="42"/>
    </row>
    <row r="3" spans="1:19" ht="21" customHeight="1">
      <c r="A3" s="39" t="s">
        <v>240</v>
      </c>
      <c r="B3" s="39"/>
      <c r="C3" s="39"/>
      <c r="D3" s="39"/>
      <c r="E3" s="39"/>
      <c r="F3" s="39"/>
      <c r="G3" s="39"/>
      <c r="K3" s="40" t="s">
        <v>241</v>
      </c>
      <c r="L3" s="40"/>
      <c r="M3" s="40"/>
      <c r="N3" s="40"/>
      <c r="O3" s="40"/>
      <c r="P3" s="40"/>
      <c r="Q3" s="40"/>
    </row>
    <row r="4" spans="1:19" ht="15.75" thickBot="1"/>
    <row r="5" spans="1:19">
      <c r="B5" s="43" t="s">
        <v>229</v>
      </c>
      <c r="C5" s="44"/>
      <c r="D5" s="44"/>
      <c r="E5" s="44"/>
      <c r="F5" s="45">
        <v>1168122.2004298205</v>
      </c>
      <c r="G5" s="46"/>
      <c r="K5" s="41" t="s">
        <v>242</v>
      </c>
      <c r="L5" s="41"/>
      <c r="M5" s="41"/>
      <c r="N5" s="41"/>
      <c r="O5" s="41"/>
      <c r="P5" s="41"/>
      <c r="Q5" s="41"/>
      <c r="R5" s="32">
        <v>100000</v>
      </c>
    </row>
    <row r="6" spans="1:19">
      <c r="B6" s="30"/>
      <c r="C6" s="28"/>
      <c r="D6" s="28"/>
      <c r="E6" s="28"/>
      <c r="F6" s="29"/>
      <c r="G6" s="31"/>
    </row>
    <row r="7" spans="1:19" ht="18">
      <c r="B7" s="47" t="s">
        <v>230</v>
      </c>
      <c r="C7" s="48"/>
      <c r="D7" s="48"/>
      <c r="E7" s="48"/>
      <c r="F7" s="49">
        <f>Finance!F7</f>
        <v>0.04</v>
      </c>
      <c r="G7" s="50"/>
      <c r="K7" s="40" t="s">
        <v>244</v>
      </c>
      <c r="L7" s="40"/>
      <c r="M7" s="40"/>
      <c r="N7" s="40"/>
      <c r="O7" s="40"/>
      <c r="P7" s="40"/>
      <c r="Q7" s="40"/>
    </row>
    <row r="8" spans="1:19">
      <c r="B8" s="30"/>
      <c r="C8" s="28"/>
      <c r="D8" s="28"/>
      <c r="E8" s="28"/>
      <c r="F8" s="29"/>
      <c r="G8" s="31"/>
    </row>
    <row r="9" spans="1:19" ht="15.75" thickBot="1">
      <c r="B9" s="33" t="s">
        <v>231</v>
      </c>
      <c r="C9" s="34"/>
      <c r="D9" s="34"/>
      <c r="E9" s="34"/>
      <c r="F9" s="37">
        <f>Finance!F9</f>
        <v>2</v>
      </c>
      <c r="G9" s="38"/>
      <c r="L9" t="s">
        <v>245</v>
      </c>
      <c r="M9" t="s">
        <v>246</v>
      </c>
      <c r="N9" t="s">
        <v>247</v>
      </c>
    </row>
    <row r="10" spans="1:19">
      <c r="B10" s="30"/>
      <c r="C10" s="28"/>
      <c r="D10" s="28"/>
      <c r="E10" s="28"/>
      <c r="F10" s="29"/>
      <c r="G10" s="31"/>
      <c r="K10" t="s">
        <v>232</v>
      </c>
    </row>
    <row r="11" spans="1:19" ht="15.75" thickBot="1">
      <c r="B11" s="33" t="s">
        <v>232</v>
      </c>
      <c r="C11" s="34"/>
      <c r="D11" s="34"/>
      <c r="E11" s="34"/>
      <c r="F11" s="35">
        <f>-PMT(F7/12,F9*12,-F5)</f>
        <v>-50725.615639618278</v>
      </c>
      <c r="G11" s="36"/>
      <c r="K11" t="s">
        <v>248</v>
      </c>
    </row>
    <row r="12" spans="1:19">
      <c r="B12" s="30"/>
      <c r="C12" s="28"/>
      <c r="D12" s="28"/>
      <c r="E12" s="28"/>
      <c r="F12" s="29"/>
      <c r="G12" s="31"/>
      <c r="K12" t="s">
        <v>249</v>
      </c>
    </row>
    <row r="13" spans="1:19" ht="15.75" thickBot="1">
      <c r="B13" s="33" t="s">
        <v>243</v>
      </c>
      <c r="C13" s="34"/>
      <c r="D13" s="34"/>
      <c r="E13" s="34"/>
      <c r="F13" s="35">
        <f>(F11*F9*12)+F5</f>
        <v>-49292.574921018211</v>
      </c>
      <c r="G13" s="36"/>
    </row>
  </sheetData>
  <mergeCells count="15">
    <mergeCell ref="A3:G3"/>
    <mergeCell ref="K3:Q3"/>
    <mergeCell ref="K5:Q5"/>
    <mergeCell ref="K7:Q7"/>
    <mergeCell ref="A1:S1"/>
    <mergeCell ref="B5:E5"/>
    <mergeCell ref="F5:G5"/>
    <mergeCell ref="B7:E7"/>
    <mergeCell ref="F7:G7"/>
    <mergeCell ref="B11:E11"/>
    <mergeCell ref="F11:G11"/>
    <mergeCell ref="B13:E13"/>
    <mergeCell ref="F13:G13"/>
    <mergeCell ref="B9:E9"/>
    <mergeCell ref="F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REFERENCE</vt:lpstr>
      <vt:lpstr>Mouvement</vt:lpstr>
      <vt:lpstr>DashBoard</vt:lpstr>
      <vt:lpstr>Finance</vt:lpstr>
      <vt:lpstr>Simulation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Meilleur Aat Ndongo</dc:creator>
  <cp:lastModifiedBy>David Meilleur Aat Ndongo</cp:lastModifiedBy>
  <dcterms:created xsi:type="dcterms:W3CDTF">2026-04-04T19:12:14Z</dcterms:created>
  <dcterms:modified xsi:type="dcterms:W3CDTF">2026-04-08T14:02:35Z</dcterms:modified>
</cp:coreProperties>
</file>