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dia\Documents\PROMO 4- SDIA\"/>
    </mc:Choice>
  </mc:AlternateContent>
  <xr:revisionPtr revIDLastSave="0" documentId="13_ncr:1_{B837F856-909C-4EDC-91E1-FF95573A7FA5}" xr6:coauthVersionLast="47" xr6:coauthVersionMax="47" xr10:uidLastSave="{00000000-0000-0000-0000-000000000000}"/>
  <bookViews>
    <workbookView xWindow="-108" yWindow="-108" windowWidth="23256" windowHeight="12576" xr2:uid="{7B277B60-016C-49DE-B970-0F21F818B76B}"/>
  </bookViews>
  <sheets>
    <sheet name="Gestion de stocks" sheetId="1" r:id="rId1"/>
    <sheet name=" Dashboard (Tableau de bord)" sheetId="3" r:id="rId2"/>
    <sheet name="Calculateur d'amortissement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I16" i="1"/>
  <c r="I30" i="1"/>
  <c r="G3" i="1"/>
  <c r="I3" i="1" s="1"/>
  <c r="G4" i="1"/>
  <c r="I4" i="1" s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I29" i="1" s="1"/>
  <c r="G30" i="1"/>
  <c r="G31" i="1"/>
  <c r="I31" i="1" s="1"/>
  <c r="G32" i="1"/>
  <c r="I32" i="1" s="1"/>
  <c r="G33" i="1"/>
  <c r="I33" i="1" s="1"/>
  <c r="G34" i="1"/>
  <c r="I34" i="1" s="1"/>
  <c r="G35" i="1"/>
  <c r="I35" i="1" s="1"/>
  <c r="G36" i="1"/>
  <c r="I36" i="1" s="1"/>
  <c r="G37" i="1"/>
  <c r="I37" i="1" s="1"/>
  <c r="G38" i="1"/>
  <c r="I38" i="1" s="1"/>
  <c r="G39" i="1"/>
  <c r="I39" i="1" s="1"/>
  <c r="G40" i="1"/>
  <c r="I40" i="1" s="1"/>
  <c r="G41" i="1"/>
  <c r="I41" i="1" s="1"/>
  <c r="G2" i="1"/>
  <c r="I2" i="1" s="1"/>
</calcChain>
</file>

<file path=xl/sharedStrings.xml><?xml version="1.0" encoding="utf-8"?>
<sst xmlns="http://schemas.openxmlformats.org/spreadsheetml/2006/main" count="129" uniqueCount="91">
  <si>
    <t>Code</t>
  </si>
  <si>
    <t>Désignation</t>
  </si>
  <si>
    <t>Catégorie</t>
  </si>
  <si>
    <t xml:space="preserve"> Stock initial</t>
  </si>
  <si>
    <t>Entrées</t>
  </si>
  <si>
    <t>Sorties</t>
  </si>
  <si>
    <t>Stock actuel</t>
  </si>
  <si>
    <t>Seuil de sécurité</t>
  </si>
  <si>
    <t>Statut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</si>
  <si>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</si>
  <si>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</si>
  <si>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</si>
  <si>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</si>
  <si>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</si>
  <si>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</si>
  <si>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</si>
  <si>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</si>
  <si>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</si>
  <si>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</si>
  <si>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</si>
  <si>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</si>
  <si>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</si>
  <si>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</si>
  <si>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</si>
  <si>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</si>
  <si>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</si>
  <si>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</si>
  <si>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</si>
  <si>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</si>
  <si>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</si>
  <si>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</si>
  <si>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</si>
  <si>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</si>
  <si>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</si>
  <si>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</si>
  <si>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</si>
  <si>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</si>
  <si>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</si>
  <si>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</si>
  <si>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</si>
  <si>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</si>
  <si>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</si>
  <si>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</si>
  <si>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</si>
  <si>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</si>
  <si>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</si>
  <si>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</si>
  <si>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</si>
  <si>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</si>
  <si>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Sèche-cheveux</t>
  </si>
  <si>
    <t>Fer à lisser</t>
  </si>
  <si>
    <t>Peigne chauffant</t>
  </si>
  <si>
    <t>Ringlight</t>
  </si>
  <si>
    <t>Coiffes</t>
  </si>
  <si>
    <t>Serviettes</t>
  </si>
  <si>
    <t>Seaux</t>
  </si>
  <si>
    <t>Chauffe-eau</t>
  </si>
  <si>
    <t>Petits peignes</t>
  </si>
  <si>
    <t>Gros peignes</t>
  </si>
  <si>
    <t>Brosses</t>
  </si>
  <si>
    <t>Ciseaux</t>
  </si>
  <si>
    <t>Soulmate 650ml</t>
  </si>
  <si>
    <t>Soulmate 100ml</t>
  </si>
  <si>
    <t>Pinces</t>
  </si>
  <si>
    <t>Elastique 20 m</t>
  </si>
  <si>
    <t>Mousse Olive Oil 30cl</t>
  </si>
  <si>
    <t>Brillantine Olive Oil17cl</t>
  </si>
  <si>
    <t>Brillantine Olive Oil 33cl</t>
  </si>
  <si>
    <t>Mousse Olive Oil 15cl</t>
  </si>
  <si>
    <t>Glue lace 30ml</t>
  </si>
  <si>
    <t>Glue lace 70ml</t>
  </si>
  <si>
    <t>Spray Yizia 350ml</t>
  </si>
  <si>
    <t>Gel Hair Max 150ml</t>
  </si>
  <si>
    <t>Gel Hair Max 300ml</t>
  </si>
  <si>
    <t>Rouleaux 7cm</t>
  </si>
  <si>
    <t>Bigoudis 15cm</t>
  </si>
  <si>
    <t>Bigoudis 20cm</t>
  </si>
  <si>
    <t xml:space="preserve">Frondes </t>
  </si>
  <si>
    <t>Coris blancs</t>
  </si>
  <si>
    <t>Petites perles</t>
  </si>
  <si>
    <t>Grosses perles</t>
  </si>
  <si>
    <t>Perles en bois</t>
  </si>
  <si>
    <t>Petits ciseaux</t>
  </si>
  <si>
    <t>Fixateur Brill 300ml</t>
  </si>
  <si>
    <t>Fixateur Brill 500ml</t>
  </si>
  <si>
    <t>Super Glue</t>
  </si>
  <si>
    <t>Traitement Growth 400ml</t>
  </si>
  <si>
    <t>Champoo+ Cond Mega Growth</t>
  </si>
  <si>
    <t>Gants</t>
  </si>
  <si>
    <t>Electronique</t>
  </si>
  <si>
    <t>Mobilier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</si>
</sst>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26">
    <dxf>
      <fill>
        <patternFill>
          <bgColor rgb="FFC00000"/>
        </patternFill>
      </fill>
    </dxf>
    <dxf>
      <font>
        <color theme="0"/>
      </font>
      <fill>
        <patternFill>
          <fgColor rgb="FFC00000"/>
        </patternFill>
      </fill>
    </dxf>
    <dxf>
      <font>
        <color rgb="FFC00000"/>
      </font>
    </dxf>
    <dxf>
      <font>
        <b/>
        <i val="0"/>
        <color rgb="FFC00000"/>
      </font>
    </dxf>
    <dxf>
      <fill>
        <patternFill>
          <bgColor rgb="FFC00000"/>
        </patternFill>
      </fill>
    </dxf>
    <dxf>
      <font>
        <color theme="0"/>
      </font>
      <fill>
        <patternFill>
          <fgColor rgb="FFC00000"/>
        </patternFill>
      </fill>
    </dxf>
    <dxf>
      <font>
        <color rgb="FFC00000"/>
      </font>
    </dxf>
    <dxf>
      <font>
        <b/>
        <i val="0"/>
        <color rgb="FFC00000"/>
      </font>
    </dxf>
    <dxf>
      <fill>
        <patternFill>
          <bgColor rgb="FFC00000"/>
        </patternFill>
      </fill>
    </dxf>
    <dxf>
      <font>
        <color theme="0"/>
      </font>
      <fill>
        <patternFill>
          <fgColor rgb="FFC00000"/>
        </patternFill>
      </fill>
    </dxf>
    <dxf>
      <font>
        <color rgb="FFC00000"/>
      </font>
    </dxf>
    <dxf>
      <font>
        <b/>
        <i val="0"/>
        <color rgb="FFC00000"/>
      </font>
    </dxf>
    <dxf>
      <font>
        <color theme="0"/>
      </font>
      <fill>
        <patternFill>
          <f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Tableau</a:t>
            </a:r>
            <a:r>
              <a:rPr lang="en-US" baseline="0"/>
              <a:t> de bord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596456692913389E-2"/>
          <c:y val="0.17374999999999999"/>
          <c:w val="0.90234951881014869"/>
          <c:h val="0.603688028579760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'Gestion de stocks'!$G$1</c:f>
              <c:strCache>
                <c:ptCount val="1"/>
                <c:pt idx="0">
                  <c:v>Stock actuel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'Gestion de stocks'!$G$2:$G$41</c:f>
              <c:numCache>
                <c:formatCode>General</c:formatCode>
                <c:ptCount val="40"/>
                <c:pt idx="0">
                  <c:v>12</c:v>
                </c:pt>
                <c:pt idx="1">
                  <c:v>6</c:v>
                </c:pt>
                <c:pt idx="2">
                  <c:v>18</c:v>
                </c:pt>
                <c:pt idx="3">
                  <c:v>7</c:v>
                </c:pt>
                <c:pt idx="4">
                  <c:v>1</c:v>
                </c:pt>
                <c:pt idx="5">
                  <c:v>5</c:v>
                </c:pt>
                <c:pt idx="6">
                  <c:v>8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9</c:v>
                </c:pt>
                <c:pt idx="12">
                  <c:v>14</c:v>
                </c:pt>
                <c:pt idx="13">
                  <c:v>32</c:v>
                </c:pt>
                <c:pt idx="14">
                  <c:v>3</c:v>
                </c:pt>
                <c:pt idx="15">
                  <c:v>20</c:v>
                </c:pt>
                <c:pt idx="16">
                  <c:v>10</c:v>
                </c:pt>
                <c:pt idx="17">
                  <c:v>11</c:v>
                </c:pt>
                <c:pt idx="18">
                  <c:v>21</c:v>
                </c:pt>
                <c:pt idx="19">
                  <c:v>13</c:v>
                </c:pt>
                <c:pt idx="20">
                  <c:v>36</c:v>
                </c:pt>
                <c:pt idx="21">
                  <c:v>3</c:v>
                </c:pt>
                <c:pt idx="22">
                  <c:v>27</c:v>
                </c:pt>
                <c:pt idx="23">
                  <c:v>15</c:v>
                </c:pt>
                <c:pt idx="24">
                  <c:v>26</c:v>
                </c:pt>
                <c:pt idx="25">
                  <c:v>15</c:v>
                </c:pt>
                <c:pt idx="26">
                  <c:v>5</c:v>
                </c:pt>
                <c:pt idx="27">
                  <c:v>12</c:v>
                </c:pt>
                <c:pt idx="28">
                  <c:v>10</c:v>
                </c:pt>
                <c:pt idx="29">
                  <c:v>8</c:v>
                </c:pt>
                <c:pt idx="30">
                  <c:v>8</c:v>
                </c:pt>
                <c:pt idx="31">
                  <c:v>6</c:v>
                </c:pt>
                <c:pt idx="32">
                  <c:v>22</c:v>
                </c:pt>
                <c:pt idx="33">
                  <c:v>0</c:v>
                </c:pt>
                <c:pt idx="34">
                  <c:v>7</c:v>
                </c:pt>
                <c:pt idx="35">
                  <c:v>17</c:v>
                </c:pt>
                <c:pt idx="36">
                  <c:v>17</c:v>
                </c:pt>
                <c:pt idx="37">
                  <c:v>12</c:v>
                </c:pt>
                <c:pt idx="38">
                  <c:v>25</c:v>
                </c:pt>
                <c:pt idx="3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4-4246-AF6A-A97ED40229FD}"/>
            </c:ext>
          </c:extLst>
        </c:ser>
        <c:ser>
          <c:idx val="1"/>
          <c:order val="1"/>
          <c:tx>
            <c:strRef>
              <c:f>'Gestion de stocks'!$H$1</c:f>
              <c:strCache>
                <c:ptCount val="1"/>
                <c:pt idx="0">
                  <c:v>Seuil de sécurité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'Gestion de stocks'!$H$2:$H$41</c:f>
              <c:numCache>
                <c:formatCode>General</c:formatCode>
                <c:ptCount val="4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8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8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5</c:v>
                </c:pt>
                <c:pt idx="28">
                  <c:v>5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7</c:v>
                </c:pt>
                <c:pt idx="34">
                  <c:v>5</c:v>
                </c:pt>
                <c:pt idx="35">
                  <c:v>5</c:v>
                </c:pt>
                <c:pt idx="36">
                  <c:v>8</c:v>
                </c:pt>
                <c:pt idx="37">
                  <c:v>7</c:v>
                </c:pt>
                <c:pt idx="38">
                  <c:v>7</c:v>
                </c:pt>
                <c:pt idx="3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74-4246-AF6A-A97ED4022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77807776"/>
        <c:axId val="2077802016"/>
      </c:barChart>
      <c:catAx>
        <c:axId val="2077807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2077802016"/>
        <c:crosses val="autoZero"/>
        <c:auto val="1"/>
        <c:lblAlgn val="ctr"/>
        <c:lblOffset val="100"/>
        <c:noMultiLvlLbl val="0"/>
      </c:catAx>
      <c:valAx>
        <c:axId val="207780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207780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C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M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605118</xdr:colOff>
      <xdr:row>20</xdr:row>
      <xdr:rowOff>141635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223A2E-9449-49AD-95B1-7D62C4E53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AC912-9CD4-47C9-8B24-A09B8D0FF04D}" name="Table1" displayName="Table1" ref="A1:I41" totalsRowShown="0" headerRowDxfId="25" dataDxfId="23" headerRowBorderDxfId="24" tableBorderDxfId="22">
  <autoFilter ref="A1:I41" xr:uid="{582AC912-9CD4-47C9-8B24-A09B8D0FF04D}"/>
  <tableColumns count="9">
    <tableColumn id="1" xr3:uid="{B25CD500-EB31-4B9A-B454-8AD96992F721}" name="Code" dataDxfId="21"/>
    <tableColumn id="2" xr3:uid="{B9E1ED49-5E7B-4979-AB41-C878F482FB68}" name="Désignation" dataDxfId="20"/>
    <tableColumn id="3" xr3:uid="{2E0BAE5C-29BC-4D59-BD94-5F999D7E832C}" name="Catégorie" dataDxfId="19"/>
    <tableColumn id="4" xr3:uid="{DCC6200A-5DA4-4508-A6A2-F7994659CC4B}" name=" Stock initial" dataDxfId="18"/>
    <tableColumn id="5" xr3:uid="{2ED38CA6-4F48-42A7-BD71-69215C35FD30}" name="Entrées" dataDxfId="17"/>
    <tableColumn id="6" xr3:uid="{DF0A0A53-C12B-4B5B-B778-AE7C2F42FC65}" name="Sorties" dataDxfId="16"/>
    <tableColumn id="7" xr3:uid="{A320E283-1016-4A79-8F66-0369A348F00F}" name="Stock actuel" dataDxfId="15">
      <calculatedColumnFormula>D2+E2-F2</calculatedColumnFormula>
    </tableColumn>
    <tableColumn id="8" xr3:uid="{A700C010-5CED-424A-A683-F0960B797978}" name="Seuil de sécurité" dataDxfId="14"/>
    <tableColumn id="9" xr3:uid="{052DED1C-8BC2-4A3C-B8D4-9CB834ECE978}" name="Statut" dataDxfId="13">
      <calculatedColumnFormula>IF(G2&lt;H2,"Réapprovisionner","OK")</calculatedColumnFormula>
    </tableColumn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5B75-2FED-41F3-B429-1B7375BF4673}">
  <dimension ref="A1:K41"/>
  <sheetViews>
    <sheetView showGridLines="0" tabSelected="1" topLeftCell="A16" zoomScale="85" zoomScaleNormal="85" workbookViewId="0">
      <selection activeCell="G2" sqref="G2:G41"/>
    </sheetView>
  </sheetViews>
  <sheetFormatPr defaultRowHeight="14.4" x14ac:dyDescent="0.3"/>
  <cols>
    <col min="2" max="2" width="26.5546875" bestFit="1" customWidth="1"/>
    <col min="3" max="3" width="15.77734375" customWidth="1"/>
    <col min="4" max="4" width="20.5546875" customWidth="1"/>
    <col min="5" max="5" width="14" customWidth="1"/>
    <col min="6" max="6" width="13.33203125" customWidth="1"/>
    <col min="7" max="7" width="19.88671875" customWidth="1"/>
    <col min="8" max="8" width="23.5546875" customWidth="1"/>
    <col min="9" max="9" width="22.21875" customWidth="1"/>
  </cols>
  <sheetData>
    <row r="1" spans="1:11" ht="1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1"/>
    </row>
    <row r="2" spans="1:11" ht="16.8" x14ac:dyDescent="0.4">
      <c r="A2" s="1" t="s">
        <v>9</v>
      </c>
      <c r="B2" s="1" t="s">
        <v>49</v>
      </c>
      <c r="C2" s="1" t="s">
        <v>89</v>
      </c>
      <c r="D2" s="1">
        <v>8</v>
      </c>
      <c r="E2" s="1">
        <v>20</v>
      </c>
      <c r="F2" s="1">
        <v>16</v>
      </c>
      <c r="G2" s="1">
        <f>D2+E2-F2</f>
        <v>12</v>
      </c>
      <c r="H2" s="1">
        <v>5</v>
      </c>
      <c r="I2" s="1" t="str">
        <f>IF(G2&lt;H2,"Réapprovisionner","OK")</f>
        <v>OK</v>
      </c>
    </row>
    <row r="3" spans="1:11" ht="16.8" x14ac:dyDescent="0.4">
      <c r="A3" s="1" t="s">
        <v>10</v>
      </c>
      <c r="B3" s="1" t="s">
        <v>50</v>
      </c>
      <c r="C3" s="1" t="s">
        <v>89</v>
      </c>
      <c r="D3" s="1">
        <v>0</v>
      </c>
      <c r="E3" s="1">
        <v>20</v>
      </c>
      <c r="F3" s="1">
        <v>14</v>
      </c>
      <c r="G3" s="1">
        <f t="shared" ref="G3:G41" si="0">D3+E3-F3</f>
        <v>6</v>
      </c>
      <c r="H3" s="1">
        <v>5</v>
      </c>
      <c r="I3" s="1" t="str">
        <f t="shared" ref="I3:I41" si="1">IF(G3&lt;H3,"Réapprovisionner","OK")</f>
        <v>OK</v>
      </c>
    </row>
    <row r="4" spans="1:11" ht="16.8" x14ac:dyDescent="0.4">
      <c r="A4" s="1" t="s">
        <v>11</v>
      </c>
      <c r="B4" s="1" t="s">
        <v>51</v>
      </c>
      <c r="C4" s="1" t="s">
        <v>89</v>
      </c>
      <c r="D4" s="1">
        <v>10</v>
      </c>
      <c r="E4" s="1">
        <v>20</v>
      </c>
      <c r="F4" s="1">
        <v>12</v>
      </c>
      <c r="G4" s="1">
        <f t="shared" si="0"/>
        <v>18</v>
      </c>
      <c r="H4" s="1">
        <v>5</v>
      </c>
      <c r="I4" s="1" t="str">
        <f t="shared" si="1"/>
        <v>OK</v>
      </c>
    </row>
    <row r="5" spans="1:11" ht="16.8" x14ac:dyDescent="0.4">
      <c r="A5" s="1" t="s">
        <v>12</v>
      </c>
      <c r="B5" s="1" t="s">
        <v>74</v>
      </c>
      <c r="C5" s="1" t="s">
        <v>90</v>
      </c>
      <c r="D5" s="1">
        <v>9</v>
      </c>
      <c r="E5" s="1">
        <v>10</v>
      </c>
      <c r="F5" s="1">
        <v>12</v>
      </c>
      <c r="G5" s="1">
        <f t="shared" si="0"/>
        <v>7</v>
      </c>
      <c r="H5" s="1">
        <v>3</v>
      </c>
      <c r="I5" s="1" t="str">
        <f t="shared" si="1"/>
        <v>OK</v>
      </c>
    </row>
    <row r="6" spans="1:11" ht="16.8" x14ac:dyDescent="0.4">
      <c r="A6" s="1" t="s">
        <v>13</v>
      </c>
      <c r="B6" s="1" t="s">
        <v>52</v>
      </c>
      <c r="C6" s="1" t="s">
        <v>89</v>
      </c>
      <c r="D6" s="1">
        <v>8</v>
      </c>
      <c r="E6" s="1">
        <v>10</v>
      </c>
      <c r="F6" s="1">
        <v>17</v>
      </c>
      <c r="G6" s="1">
        <f t="shared" si="0"/>
        <v>1</v>
      </c>
      <c r="H6" s="1">
        <v>2</v>
      </c>
      <c r="I6" s="1" t="str">
        <f t="shared" si="1"/>
        <v>Réapprovisionner</v>
      </c>
    </row>
    <row r="7" spans="1:11" ht="16.8" x14ac:dyDescent="0.4">
      <c r="A7" s="1" t="s">
        <v>14</v>
      </c>
      <c r="B7" s="1" t="s">
        <v>75</v>
      </c>
      <c r="C7" s="1" t="s">
        <v>90</v>
      </c>
      <c r="D7" s="1">
        <v>2</v>
      </c>
      <c r="E7" s="1">
        <v>40</v>
      </c>
      <c r="F7" s="1">
        <v>37</v>
      </c>
      <c r="G7" s="1">
        <f t="shared" si="0"/>
        <v>5</v>
      </c>
      <c r="H7" s="1">
        <v>7</v>
      </c>
      <c r="I7" s="1" t="str">
        <f t="shared" si="1"/>
        <v>Réapprovisionner</v>
      </c>
    </row>
    <row r="8" spans="1:11" ht="16.8" x14ac:dyDescent="0.4">
      <c r="A8" s="1" t="s">
        <v>15</v>
      </c>
      <c r="B8" s="1" t="s">
        <v>57</v>
      </c>
      <c r="C8" s="1" t="s">
        <v>90</v>
      </c>
      <c r="D8" s="1">
        <v>0</v>
      </c>
      <c r="E8" s="1">
        <v>30</v>
      </c>
      <c r="F8" s="1">
        <v>22</v>
      </c>
      <c r="G8" s="1">
        <f t="shared" si="0"/>
        <v>8</v>
      </c>
      <c r="H8" s="1">
        <v>8</v>
      </c>
      <c r="I8" s="1" t="str">
        <f t="shared" si="1"/>
        <v>OK</v>
      </c>
    </row>
    <row r="9" spans="1:11" ht="16.8" x14ac:dyDescent="0.4">
      <c r="A9" s="1" t="s">
        <v>16</v>
      </c>
      <c r="B9" s="1" t="s">
        <v>63</v>
      </c>
      <c r="C9" s="1" t="s">
        <v>90</v>
      </c>
      <c r="D9" s="1">
        <v>0</v>
      </c>
      <c r="E9" s="1">
        <v>15</v>
      </c>
      <c r="F9" s="1">
        <v>12</v>
      </c>
      <c r="G9" s="1">
        <f t="shared" si="0"/>
        <v>3</v>
      </c>
      <c r="H9" s="1">
        <v>4</v>
      </c>
      <c r="I9" s="1" t="str">
        <f t="shared" si="1"/>
        <v>Réapprovisionner</v>
      </c>
    </row>
    <row r="10" spans="1:11" ht="16.8" x14ac:dyDescent="0.4">
      <c r="A10" s="1" t="s">
        <v>17</v>
      </c>
      <c r="B10" s="1" t="s">
        <v>64</v>
      </c>
      <c r="C10" s="1" t="s">
        <v>90</v>
      </c>
      <c r="D10" s="1">
        <v>12</v>
      </c>
      <c r="E10" s="1">
        <v>20</v>
      </c>
      <c r="F10" s="1">
        <v>27</v>
      </c>
      <c r="G10" s="1">
        <f t="shared" si="0"/>
        <v>5</v>
      </c>
      <c r="H10" s="1">
        <v>5</v>
      </c>
      <c r="I10" s="1" t="str">
        <f t="shared" si="1"/>
        <v>OK</v>
      </c>
    </row>
    <row r="11" spans="1:11" ht="16.8" x14ac:dyDescent="0.4">
      <c r="A11" s="1" t="s">
        <v>18</v>
      </c>
      <c r="B11" s="1" t="s">
        <v>54</v>
      </c>
      <c r="C11" s="1" t="s">
        <v>90</v>
      </c>
      <c r="D11" s="1">
        <v>10</v>
      </c>
      <c r="E11" s="1">
        <v>10</v>
      </c>
      <c r="F11" s="1">
        <v>13</v>
      </c>
      <c r="G11" s="1">
        <f t="shared" si="0"/>
        <v>7</v>
      </c>
      <c r="H11" s="1">
        <v>5</v>
      </c>
      <c r="I11" s="1" t="str">
        <f t="shared" si="1"/>
        <v>OK</v>
      </c>
    </row>
    <row r="12" spans="1:11" ht="16.8" x14ac:dyDescent="0.4">
      <c r="A12" s="1" t="s">
        <v>19</v>
      </c>
      <c r="B12" s="1" t="s">
        <v>55</v>
      </c>
      <c r="C12" s="1" t="s">
        <v>90</v>
      </c>
      <c r="D12" s="1">
        <v>7</v>
      </c>
      <c r="E12" s="1">
        <v>13</v>
      </c>
      <c r="F12" s="1">
        <v>14</v>
      </c>
      <c r="G12" s="1">
        <f t="shared" si="0"/>
        <v>6</v>
      </c>
      <c r="H12" s="1">
        <v>5</v>
      </c>
      <c r="I12" s="1" t="str">
        <f t="shared" si="1"/>
        <v>OK</v>
      </c>
    </row>
    <row r="13" spans="1:11" ht="16.8" x14ac:dyDescent="0.4">
      <c r="A13" s="1" t="s">
        <v>20</v>
      </c>
      <c r="B13" s="1" t="s">
        <v>56</v>
      </c>
      <c r="C13" s="1" t="s">
        <v>89</v>
      </c>
      <c r="D13" s="1">
        <v>8</v>
      </c>
      <c r="E13" s="1">
        <v>20</v>
      </c>
      <c r="F13" s="1">
        <v>19</v>
      </c>
      <c r="G13" s="1">
        <f t="shared" si="0"/>
        <v>9</v>
      </c>
      <c r="H13" s="1">
        <v>5</v>
      </c>
      <c r="I13" s="1" t="str">
        <f t="shared" si="1"/>
        <v>OK</v>
      </c>
    </row>
    <row r="14" spans="1:11" ht="16.8" x14ac:dyDescent="0.4">
      <c r="A14" s="1" t="s">
        <v>21</v>
      </c>
      <c r="B14" s="1" t="s">
        <v>58</v>
      </c>
      <c r="C14" s="1" t="s">
        <v>90</v>
      </c>
      <c r="D14" s="1">
        <v>8</v>
      </c>
      <c r="E14" s="1">
        <v>50</v>
      </c>
      <c r="F14" s="1">
        <v>44</v>
      </c>
      <c r="G14" s="1">
        <f t="shared" si="0"/>
        <v>14</v>
      </c>
      <c r="H14" s="1">
        <v>8</v>
      </c>
      <c r="I14" s="1" t="str">
        <f t="shared" si="1"/>
        <v>OK</v>
      </c>
    </row>
    <row r="15" spans="1:11" ht="16.8" x14ac:dyDescent="0.4">
      <c r="A15" s="1" t="s">
        <v>22</v>
      </c>
      <c r="B15" s="1" t="s">
        <v>76</v>
      </c>
      <c r="C15" s="1" t="s">
        <v>90</v>
      </c>
      <c r="D15" s="1">
        <v>7</v>
      </c>
      <c r="E15" s="1">
        <v>40</v>
      </c>
      <c r="F15" s="1">
        <v>15</v>
      </c>
      <c r="G15" s="1">
        <f t="shared" si="0"/>
        <v>32</v>
      </c>
      <c r="H15" s="1">
        <v>5</v>
      </c>
      <c r="I15" s="1" t="str">
        <f t="shared" si="1"/>
        <v>OK</v>
      </c>
    </row>
    <row r="16" spans="1:11" ht="16.8" x14ac:dyDescent="0.4">
      <c r="A16" s="1" t="s">
        <v>23</v>
      </c>
      <c r="B16" s="1" t="s">
        <v>59</v>
      </c>
      <c r="C16" s="1" t="s">
        <v>90</v>
      </c>
      <c r="D16" s="1">
        <v>0</v>
      </c>
      <c r="E16" s="1">
        <v>20</v>
      </c>
      <c r="F16" s="1">
        <v>17</v>
      </c>
      <c r="G16" s="1">
        <f>D16+E16-F16</f>
        <v>3</v>
      </c>
      <c r="H16" s="1">
        <v>5</v>
      </c>
      <c r="I16" s="1" t="str">
        <f t="shared" si="1"/>
        <v>Réapprovisionner</v>
      </c>
    </row>
    <row r="17" spans="1:9" ht="16.8" x14ac:dyDescent="0.4">
      <c r="A17" s="1" t="s">
        <v>24</v>
      </c>
      <c r="B17" s="1" t="s">
        <v>60</v>
      </c>
      <c r="C17" s="1" t="s">
        <v>90</v>
      </c>
      <c r="D17" s="1">
        <v>2</v>
      </c>
      <c r="E17" s="1">
        <v>30</v>
      </c>
      <c r="F17" s="1">
        <v>12</v>
      </c>
      <c r="G17" s="1">
        <f t="shared" si="0"/>
        <v>20</v>
      </c>
      <c r="H17" s="1">
        <v>5</v>
      </c>
      <c r="I17" s="1" t="str">
        <f t="shared" si="1"/>
        <v>OK</v>
      </c>
    </row>
    <row r="18" spans="1:9" ht="16.8" x14ac:dyDescent="0.4">
      <c r="A18" s="1" t="s">
        <v>25</v>
      </c>
      <c r="B18" s="1" t="s">
        <v>53</v>
      </c>
      <c r="C18" s="1" t="s">
        <v>90</v>
      </c>
      <c r="D18" s="1">
        <v>1</v>
      </c>
      <c r="E18" s="1">
        <v>20</v>
      </c>
      <c r="F18" s="1">
        <v>11</v>
      </c>
      <c r="G18" s="1">
        <f t="shared" si="0"/>
        <v>10</v>
      </c>
      <c r="H18" s="1">
        <v>5</v>
      </c>
      <c r="I18" s="1" t="str">
        <f>IF(G18&lt;H18,"Réapprovisionner","OK")</f>
        <v>OK</v>
      </c>
    </row>
    <row r="19" spans="1:9" ht="16.8" x14ac:dyDescent="0.4">
      <c r="A19" s="1" t="s">
        <v>26</v>
      </c>
      <c r="B19" s="1" t="s">
        <v>72</v>
      </c>
      <c r="C19" s="1" t="s">
        <v>90</v>
      </c>
      <c r="D19" s="1">
        <v>3</v>
      </c>
      <c r="E19" s="1">
        <v>60</v>
      </c>
      <c r="F19" s="1">
        <v>52</v>
      </c>
      <c r="G19" s="1">
        <f t="shared" si="0"/>
        <v>11</v>
      </c>
      <c r="H19" s="1">
        <v>7</v>
      </c>
      <c r="I19" s="1" t="str">
        <f t="shared" si="1"/>
        <v>OK</v>
      </c>
    </row>
    <row r="20" spans="1:9" ht="16.8" x14ac:dyDescent="0.4">
      <c r="A20" s="1" t="s">
        <v>27</v>
      </c>
      <c r="B20" s="1" t="s">
        <v>73</v>
      </c>
      <c r="C20" s="1" t="s">
        <v>90</v>
      </c>
      <c r="D20" s="1">
        <v>3</v>
      </c>
      <c r="E20" s="1">
        <v>65</v>
      </c>
      <c r="F20" s="1">
        <v>47</v>
      </c>
      <c r="G20" s="1">
        <f t="shared" si="0"/>
        <v>21</v>
      </c>
      <c r="H20" s="1">
        <v>7</v>
      </c>
      <c r="I20" s="1" t="str">
        <f t="shared" si="1"/>
        <v>OK</v>
      </c>
    </row>
    <row r="21" spans="1:9" ht="16.8" x14ac:dyDescent="0.4">
      <c r="A21" s="1" t="s">
        <v>28</v>
      </c>
      <c r="B21" s="1" t="s">
        <v>61</v>
      </c>
      <c r="C21" s="1" t="s">
        <v>90</v>
      </c>
      <c r="D21" s="1">
        <v>5</v>
      </c>
      <c r="E21" s="1">
        <v>20</v>
      </c>
      <c r="F21" s="1">
        <v>12</v>
      </c>
      <c r="G21" s="1">
        <f t="shared" si="0"/>
        <v>13</v>
      </c>
      <c r="H21" s="1">
        <v>7</v>
      </c>
      <c r="I21" s="1" t="str">
        <f t="shared" si="1"/>
        <v>OK</v>
      </c>
    </row>
    <row r="22" spans="1:9" ht="16.8" x14ac:dyDescent="0.4">
      <c r="A22" s="1" t="s">
        <v>29</v>
      </c>
      <c r="B22" s="1" t="s">
        <v>62</v>
      </c>
      <c r="C22" s="1" t="s">
        <v>90</v>
      </c>
      <c r="D22" s="1">
        <v>0</v>
      </c>
      <c r="E22" s="1">
        <v>55</v>
      </c>
      <c r="F22" s="1">
        <v>19</v>
      </c>
      <c r="G22" s="1">
        <f t="shared" si="0"/>
        <v>36</v>
      </c>
      <c r="H22" s="1">
        <v>7</v>
      </c>
      <c r="I22" s="1" t="str">
        <f t="shared" si="1"/>
        <v>OK</v>
      </c>
    </row>
    <row r="23" spans="1:9" ht="16.8" x14ac:dyDescent="0.4">
      <c r="A23" s="1" t="s">
        <v>30</v>
      </c>
      <c r="B23" s="1" t="s">
        <v>67</v>
      </c>
      <c r="C23" s="1" t="s">
        <v>90</v>
      </c>
      <c r="D23" s="1">
        <v>0</v>
      </c>
      <c r="E23" s="1">
        <v>25</v>
      </c>
      <c r="F23" s="1">
        <v>22</v>
      </c>
      <c r="G23" s="1">
        <f t="shared" si="0"/>
        <v>3</v>
      </c>
      <c r="H23" s="1">
        <v>7</v>
      </c>
      <c r="I23" s="1" t="str">
        <f t="shared" si="1"/>
        <v>Réapprovisionner</v>
      </c>
    </row>
    <row r="24" spans="1:9" ht="16.8" x14ac:dyDescent="0.4">
      <c r="A24" s="1" t="s">
        <v>31</v>
      </c>
      <c r="B24" s="1" t="s">
        <v>66</v>
      </c>
      <c r="C24" s="1" t="s">
        <v>90</v>
      </c>
      <c r="D24" s="1">
        <v>4</v>
      </c>
      <c r="E24" s="1">
        <v>35</v>
      </c>
      <c r="F24" s="1">
        <v>12</v>
      </c>
      <c r="G24" s="1">
        <f t="shared" si="0"/>
        <v>27</v>
      </c>
      <c r="H24" s="1">
        <v>7</v>
      </c>
      <c r="I24" s="1" t="str">
        <f t="shared" si="1"/>
        <v>OK</v>
      </c>
    </row>
    <row r="25" spans="1:9" ht="16.8" x14ac:dyDescent="0.4">
      <c r="A25" s="1" t="s">
        <v>32</v>
      </c>
      <c r="B25" s="1" t="s">
        <v>65</v>
      </c>
      <c r="C25" s="1" t="s">
        <v>90</v>
      </c>
      <c r="D25" s="1">
        <v>2</v>
      </c>
      <c r="E25" s="1">
        <v>25</v>
      </c>
      <c r="F25" s="1">
        <v>12</v>
      </c>
      <c r="G25" s="1">
        <f t="shared" si="0"/>
        <v>15</v>
      </c>
      <c r="H25" s="1">
        <v>7</v>
      </c>
      <c r="I25" s="1" t="str">
        <f t="shared" si="1"/>
        <v>OK</v>
      </c>
    </row>
    <row r="26" spans="1:9" ht="16.8" x14ac:dyDescent="0.4">
      <c r="A26" s="1" t="s">
        <v>33</v>
      </c>
      <c r="B26" s="1" t="s">
        <v>68</v>
      </c>
      <c r="C26" s="1" t="s">
        <v>90</v>
      </c>
      <c r="D26" s="1">
        <v>3</v>
      </c>
      <c r="E26" s="1">
        <v>35</v>
      </c>
      <c r="F26" s="1">
        <v>12</v>
      </c>
      <c r="G26" s="1">
        <f t="shared" si="0"/>
        <v>26</v>
      </c>
      <c r="H26" s="1">
        <v>7</v>
      </c>
      <c r="I26" s="1" t="str">
        <f t="shared" si="1"/>
        <v>OK</v>
      </c>
    </row>
    <row r="27" spans="1:9" ht="16.8" x14ac:dyDescent="0.4">
      <c r="A27" s="1" t="s">
        <v>34</v>
      </c>
      <c r="B27" s="1" t="s">
        <v>69</v>
      </c>
      <c r="C27" s="1" t="s">
        <v>90</v>
      </c>
      <c r="D27" s="1">
        <v>7</v>
      </c>
      <c r="E27" s="1">
        <v>20</v>
      </c>
      <c r="F27" s="1">
        <v>12</v>
      </c>
      <c r="G27" s="1">
        <f t="shared" si="0"/>
        <v>15</v>
      </c>
      <c r="H27" s="1">
        <v>7</v>
      </c>
      <c r="I27" s="1" t="str">
        <f t="shared" si="1"/>
        <v>OK</v>
      </c>
    </row>
    <row r="28" spans="1:9" ht="16.8" x14ac:dyDescent="0.4">
      <c r="A28" s="1" t="s">
        <v>35</v>
      </c>
      <c r="B28" s="1" t="s">
        <v>70</v>
      </c>
      <c r="C28" s="1" t="s">
        <v>90</v>
      </c>
      <c r="D28" s="1">
        <v>7</v>
      </c>
      <c r="E28" s="1">
        <v>10</v>
      </c>
      <c r="F28" s="1">
        <v>12</v>
      </c>
      <c r="G28" s="1">
        <f t="shared" si="0"/>
        <v>5</v>
      </c>
      <c r="H28" s="1">
        <v>7</v>
      </c>
      <c r="I28" s="1" t="str">
        <f t="shared" si="1"/>
        <v>Réapprovisionner</v>
      </c>
    </row>
    <row r="29" spans="1:9" ht="16.8" x14ac:dyDescent="0.4">
      <c r="A29" s="1" t="s">
        <v>36</v>
      </c>
      <c r="B29" s="1" t="s">
        <v>71</v>
      </c>
      <c r="C29" s="1" t="s">
        <v>90</v>
      </c>
      <c r="D29" s="1">
        <v>9</v>
      </c>
      <c r="E29" s="1">
        <v>15</v>
      </c>
      <c r="F29" s="1">
        <v>12</v>
      </c>
      <c r="G29" s="1">
        <f t="shared" si="0"/>
        <v>12</v>
      </c>
      <c r="H29" s="1">
        <v>5</v>
      </c>
      <c r="I29" s="1" t="str">
        <f t="shared" si="1"/>
        <v>OK</v>
      </c>
    </row>
    <row r="30" spans="1:9" ht="16.8" x14ac:dyDescent="0.4">
      <c r="A30" s="1" t="s">
        <v>37</v>
      </c>
      <c r="B30" s="1" t="s">
        <v>77</v>
      </c>
      <c r="C30" s="1" t="s">
        <v>90</v>
      </c>
      <c r="D30" s="1">
        <v>3</v>
      </c>
      <c r="E30" s="1">
        <v>20</v>
      </c>
      <c r="F30" s="1">
        <v>13</v>
      </c>
      <c r="G30" s="1">
        <f t="shared" si="0"/>
        <v>10</v>
      </c>
      <c r="H30" s="1">
        <v>5</v>
      </c>
      <c r="I30" s="1" t="str">
        <f t="shared" si="1"/>
        <v>OK</v>
      </c>
    </row>
    <row r="31" spans="1:9" ht="16.8" x14ac:dyDescent="0.4">
      <c r="A31" s="1" t="s">
        <v>38</v>
      </c>
      <c r="B31" s="1" t="s">
        <v>78</v>
      </c>
      <c r="C31" s="1" t="s">
        <v>90</v>
      </c>
      <c r="D31" s="1">
        <v>0</v>
      </c>
      <c r="E31" s="1">
        <v>20</v>
      </c>
      <c r="F31" s="1">
        <v>12</v>
      </c>
      <c r="G31" s="1">
        <f t="shared" si="0"/>
        <v>8</v>
      </c>
      <c r="H31" s="1">
        <v>4</v>
      </c>
      <c r="I31" s="1" t="str">
        <f t="shared" si="1"/>
        <v>OK</v>
      </c>
    </row>
    <row r="32" spans="1:9" ht="16.8" x14ac:dyDescent="0.4">
      <c r="A32" s="1" t="s">
        <v>39</v>
      </c>
      <c r="B32" s="1" t="s">
        <v>79</v>
      </c>
      <c r="C32" s="1" t="s">
        <v>90</v>
      </c>
      <c r="D32" s="1">
        <v>0</v>
      </c>
      <c r="E32" s="1">
        <v>20</v>
      </c>
      <c r="F32" s="1">
        <v>12</v>
      </c>
      <c r="G32" s="1">
        <f t="shared" si="0"/>
        <v>8</v>
      </c>
      <c r="H32" s="1">
        <v>4</v>
      </c>
      <c r="I32" s="1" t="str">
        <f t="shared" si="1"/>
        <v>OK</v>
      </c>
    </row>
    <row r="33" spans="1:9" ht="16.8" x14ac:dyDescent="0.4">
      <c r="A33" s="1" t="s">
        <v>40</v>
      </c>
      <c r="B33" s="1" t="s">
        <v>80</v>
      </c>
      <c r="C33" s="1" t="s">
        <v>90</v>
      </c>
      <c r="D33" s="1">
        <v>8</v>
      </c>
      <c r="E33" s="1">
        <v>20</v>
      </c>
      <c r="F33" s="1">
        <v>22</v>
      </c>
      <c r="G33" s="1">
        <f t="shared" si="0"/>
        <v>6</v>
      </c>
      <c r="H33" s="1">
        <v>4</v>
      </c>
      <c r="I33" s="1" t="str">
        <f t="shared" si="1"/>
        <v>OK</v>
      </c>
    </row>
    <row r="34" spans="1:9" ht="16.8" x14ac:dyDescent="0.4">
      <c r="A34" s="1" t="s">
        <v>41</v>
      </c>
      <c r="B34" s="1" t="s">
        <v>81</v>
      </c>
      <c r="C34" s="1" t="s">
        <v>90</v>
      </c>
      <c r="D34" s="1">
        <v>14</v>
      </c>
      <c r="E34" s="1">
        <v>20</v>
      </c>
      <c r="F34" s="1">
        <v>12</v>
      </c>
      <c r="G34" s="1">
        <f t="shared" si="0"/>
        <v>22</v>
      </c>
      <c r="H34" s="1">
        <v>4</v>
      </c>
      <c r="I34" s="1" t="str">
        <f t="shared" si="1"/>
        <v>OK</v>
      </c>
    </row>
    <row r="35" spans="1:9" ht="16.8" x14ac:dyDescent="0.4">
      <c r="A35" s="1" t="s">
        <v>42</v>
      </c>
      <c r="B35" s="1" t="s">
        <v>82</v>
      </c>
      <c r="C35" s="1" t="s">
        <v>90</v>
      </c>
      <c r="D35" s="1">
        <v>3</v>
      </c>
      <c r="E35" s="1">
        <v>8</v>
      </c>
      <c r="F35" s="1">
        <v>11</v>
      </c>
      <c r="G35" s="1">
        <f t="shared" si="0"/>
        <v>0</v>
      </c>
      <c r="H35" s="1">
        <v>7</v>
      </c>
      <c r="I35" s="1" t="str">
        <f t="shared" si="1"/>
        <v>Réapprovisionner</v>
      </c>
    </row>
    <row r="36" spans="1:9" ht="16.8" x14ac:dyDescent="0.4">
      <c r="A36" s="1" t="s">
        <v>43</v>
      </c>
      <c r="B36" s="1" t="s">
        <v>83</v>
      </c>
      <c r="C36" s="1" t="s">
        <v>90</v>
      </c>
      <c r="D36" s="1">
        <v>17</v>
      </c>
      <c r="E36" s="1">
        <v>20</v>
      </c>
      <c r="F36" s="1">
        <v>30</v>
      </c>
      <c r="G36" s="1">
        <f t="shared" si="0"/>
        <v>7</v>
      </c>
      <c r="H36" s="1">
        <v>5</v>
      </c>
      <c r="I36" s="1" t="str">
        <f t="shared" si="1"/>
        <v>OK</v>
      </c>
    </row>
    <row r="37" spans="1:9" ht="16.8" x14ac:dyDescent="0.4">
      <c r="A37" s="1" t="s">
        <v>44</v>
      </c>
      <c r="B37" s="1" t="s">
        <v>84</v>
      </c>
      <c r="C37" s="1" t="s">
        <v>90</v>
      </c>
      <c r="D37" s="1">
        <v>9</v>
      </c>
      <c r="E37" s="1">
        <v>20</v>
      </c>
      <c r="F37" s="1">
        <v>12</v>
      </c>
      <c r="G37" s="1">
        <f t="shared" si="0"/>
        <v>17</v>
      </c>
      <c r="H37" s="1">
        <v>5</v>
      </c>
      <c r="I37" s="1" t="str">
        <f t="shared" si="1"/>
        <v>OK</v>
      </c>
    </row>
    <row r="38" spans="1:9" ht="16.8" x14ac:dyDescent="0.4">
      <c r="A38" s="1" t="s">
        <v>45</v>
      </c>
      <c r="B38" s="1" t="s">
        <v>85</v>
      </c>
      <c r="C38" s="1" t="s">
        <v>90</v>
      </c>
      <c r="D38" s="1">
        <v>9</v>
      </c>
      <c r="E38" s="1">
        <v>20</v>
      </c>
      <c r="F38" s="1">
        <v>12</v>
      </c>
      <c r="G38" s="1">
        <f t="shared" si="0"/>
        <v>17</v>
      </c>
      <c r="H38" s="1">
        <v>8</v>
      </c>
      <c r="I38" s="1" t="str">
        <f t="shared" si="1"/>
        <v>OK</v>
      </c>
    </row>
    <row r="39" spans="1:9" ht="16.8" x14ac:dyDescent="0.4">
      <c r="A39" s="1" t="s">
        <v>46</v>
      </c>
      <c r="B39" s="1" t="s">
        <v>86</v>
      </c>
      <c r="C39" s="1" t="s">
        <v>90</v>
      </c>
      <c r="D39" s="1">
        <v>10</v>
      </c>
      <c r="E39" s="1">
        <v>20</v>
      </c>
      <c r="F39" s="1">
        <v>18</v>
      </c>
      <c r="G39" s="1">
        <f t="shared" si="0"/>
        <v>12</v>
      </c>
      <c r="H39" s="1">
        <v>7</v>
      </c>
      <c r="I39" s="1" t="str">
        <f t="shared" si="1"/>
        <v>OK</v>
      </c>
    </row>
    <row r="40" spans="1:9" ht="16.8" x14ac:dyDescent="0.4">
      <c r="A40" s="1" t="s">
        <v>47</v>
      </c>
      <c r="B40" s="1" t="s">
        <v>87</v>
      </c>
      <c r="C40" s="1" t="s">
        <v>90</v>
      </c>
      <c r="D40" s="1">
        <v>17</v>
      </c>
      <c r="E40" s="1">
        <v>20</v>
      </c>
      <c r="F40" s="1">
        <v>12</v>
      </c>
      <c r="G40" s="1">
        <f t="shared" si="0"/>
        <v>25</v>
      </c>
      <c r="H40" s="1">
        <v>7</v>
      </c>
      <c r="I40" s="1" t="str">
        <f t="shared" si="1"/>
        <v>OK</v>
      </c>
    </row>
    <row r="41" spans="1:9" ht="16.8" x14ac:dyDescent="0.4">
      <c r="A41" s="1" t="s">
        <v>48</v>
      </c>
      <c r="B41" s="1" t="s">
        <v>88</v>
      </c>
      <c r="C41" s="1" t="s">
        <v>90</v>
      </c>
      <c r="D41" s="1">
        <v>14</v>
      </c>
      <c r="E41" s="1">
        <v>40</v>
      </c>
      <c r="F41" s="1">
        <v>29</v>
      </c>
      <c r="G41" s="1">
        <f t="shared" si="0"/>
        <v>25</v>
      </c>
      <c r="H41" s="1">
        <v>8</v>
      </c>
      <c r="I41" s="1" t="str">
        <f t="shared" si="1"/>
        <v>OK</v>
      </c>
    </row>
  </sheetData>
  <conditionalFormatting sqref="I2:I41">
    <cfRule type="containsText" dxfId="7" priority="7" operator="containsText" text="Réapprovisionner">
      <formula>NOT(ISERROR(SEARCH("Réapprovisionner",I2)))</formula>
    </cfRule>
    <cfRule type="containsText" dxfId="6" priority="8" operator="containsText" text="Réapprovisionner">
      <formula>NOT(ISERROR(SEARCH("Réapprovisionner",I2)))</formula>
    </cfRule>
  </conditionalFormatting>
  <conditionalFormatting sqref="I1:I41">
    <cfRule type="containsText" dxfId="5" priority="6" operator="containsText" text="Réapprovisionner">
      <formula>NOT(ISERROR(SEARCH("Réapprovisionner",I1)))</formula>
    </cfRule>
    <cfRule type="containsText" dxfId="4" priority="5" operator="containsText" text="Réapprovisionner">
      <formula>NOT(ISERROR(SEARCH("Réapprovisionner",I1)))</formula>
    </cfRule>
  </conditionalFormatting>
  <conditionalFormatting sqref="G1:G41">
    <cfRule type="iconSet" priority="3">
      <iconSet>
        <cfvo type="percent" val="0"/>
        <cfvo type="percent" val="33"/>
        <cfvo type="percent" val="67"/>
      </iconSet>
    </cfRule>
  </conditionalFormatting>
  <conditionalFormatting sqref="G2:G41">
    <cfRule type="iconSet" priority="1">
      <iconSet iconSet="3Arrows">
        <cfvo type="percent" val="0"/>
        <cfvo type="formula" val="&quot;$h2&quot;" gte="0"/>
        <cfvo type="formula" val="&quot;$h2&quot;" gte="0"/>
      </iconSet>
    </cfRule>
  </conditionalFormatting>
  <dataValidations count="2">
    <dataValidation type="list" allowBlank="1" showInputMessage="1" showErrorMessage="1" sqref="K1" xr:uid="{498DF0E7-3D96-49DF-9E85-1E12F68733C5}">
      <formula1>"Electronique, Mobilier"</formula1>
    </dataValidation>
    <dataValidation type="list" allowBlank="1" showInputMessage="1" showErrorMessage="1" sqref="C1" xr:uid="{BF8252D5-D1BD-4508-8088-6788FD43A8F6}">
      <formula1>"Mobilier, Electronique"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79F6189A-2648-4F0A-9BA6-B37A618BD56C}">
            <x14:iconSet iconSet="3Symbols" showValue="0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Symbols" iconId="2"/>
              <x14:cfIcon iconSet="NoIcons" iconId="0"/>
              <x14:cfIcon iconSet="3Symbols" iconId="0"/>
            </x14:iconSet>
          </x14:cfRule>
          <xm:sqref>G1:G41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FC32B-EE8A-47FE-9877-2668CB1D2EE8}">
  <dimension ref="A1"/>
  <sheetViews>
    <sheetView workbookViewId="0">
      <selection activeCell="B3" sqref="B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153F-EE55-42BA-B0EA-CABA3C4AC6A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Gestion de stocks</vt:lpstr>
      <vt:lpstr> Dashboard (Tableau de bord)</vt:lpstr>
      <vt:lpstr>Calculateur d'amortissement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Kwarissa</dc:creator>
  <cp:lastModifiedBy>Lydia Kwarissa</cp:lastModifiedBy>
  <dcterms:created xsi:type="dcterms:W3CDTF">2026-03-10T19:30:28Z</dcterms:created>
  <dcterms:modified xsi:type="dcterms:W3CDTF">2026-04-07T22:14:32Z</dcterms:modified>
</cp:coreProperties>
</file>